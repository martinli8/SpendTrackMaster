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3 " sheetId="1" r:id="rId3"/>
    <sheet state="hidden" name="Aug 2023" sheetId="2" r:id="rId4"/>
    <sheet state="hidden" name="Sept 2023" sheetId="3" r:id="rId5"/>
    <sheet state="hidden" name="Multiyear Plan" sheetId="4" r:id="rId6"/>
    <sheet state="visible" name="Business School Fund" sheetId="5" r:id="rId7"/>
    <sheet state="hidden" name="Oct 2023" sheetId="6" r:id="rId8"/>
    <sheet state="hidden" name="Nov 2023" sheetId="7" r:id="rId9"/>
    <sheet state="hidden" name="Dec 2023" sheetId="8" r:id="rId10"/>
    <sheet state="visible" name="Jan 2024" sheetId="9" r:id="rId11"/>
    <sheet state="visible" name="Feb 2024" sheetId="10" r:id="rId12"/>
    <sheet state="visible" name="March 2024" sheetId="11" r:id="rId13"/>
    <sheet state="hidden" name="April 2024" sheetId="12" r:id="rId14"/>
    <sheet state="hidden" name="May 2024" sheetId="13" r:id="rId15"/>
    <sheet state="hidden" name="June 2024" sheetId="14" r:id="rId16"/>
    <sheet state="hidden" name="July 2024" sheetId="15" r:id="rId17"/>
    <sheet state="visible" name="Aug 2024" sheetId="16" r:id="rId18"/>
    <sheet state="hidden" name="Sept 2024" sheetId="17" r:id="rId19"/>
    <sheet state="visible" name="Oct 2024" sheetId="18" r:id="rId20"/>
    <sheet state="visible" name="November 2024" sheetId="19" r:id="rId21"/>
    <sheet state="visible" name="December 2024" sheetId="20" r:id="rId22"/>
    <sheet state="visible" name="Janunary 2025" sheetId="21" r:id="rId23"/>
    <sheet state="visible" name="Feb 2025" sheetId="22" r:id="rId24"/>
    <sheet state="visible" name="March 2025" sheetId="23" r:id="rId25"/>
    <sheet state="visible" name="April 2025" sheetId="24" r:id="rId26"/>
    <sheet state="visible" name="May 2025" sheetId="25" r:id="rId27"/>
    <sheet state="visible" name="June 2025" sheetId="26" r:id="rId28"/>
    <sheet state="visible" name="July 2025" sheetId="27" r:id="rId29"/>
    <sheet state="visible" name="August 2025" sheetId="28" r:id="rId30"/>
    <sheet state="visible" name="Financial Planning" sheetId="29" r:id="rId31"/>
    <sheet state="visible" name="Travelbank Rules" sheetId="30" r:id="rId32"/>
    <sheet state="visible" name="MartinRachel Pay Stub" sheetId="31" r:id="rId33"/>
    <sheet state="visible" name="Churn Fees" sheetId="32" r:id="rId34"/>
    <sheet state="hidden" name="Hidden list and Figures" sheetId="33" r:id="rId35"/>
    <sheet state="hidden" name="Credit Card" sheetId="34" r:id="rId36"/>
    <sheet state="hidden" name="Large Purchase Calculator" sheetId="35" r:id="rId37"/>
    <sheet state="hidden" name="Copy of Sheet1" sheetId="36" r:id="rId38"/>
    <sheet state="hidden" name="Hidden Test Sheet" sheetId="37" r:id="rId39"/>
  </sheets>
  <definedNames>
    <definedName hidden="1" localSheetId="0" name="_xlnm._FilterDatabase">'July 2023 '!$A$31:$D$74</definedName>
    <definedName hidden="1" localSheetId="1" name="_xlnm._FilterDatabase">'Aug 2023'!$A$31:$D$95</definedName>
    <definedName hidden="1" localSheetId="2" name="_xlnm._FilterDatabase">'Sept 2023'!$A$31:$D$78</definedName>
    <definedName hidden="1" localSheetId="5" name="_xlnm._FilterDatabase">'Oct 2023'!$A$31:$D$91</definedName>
    <definedName hidden="1" localSheetId="6" name="_xlnm._FilterDatabase">'Nov 2023'!$A$31:$D$121</definedName>
    <definedName hidden="1" localSheetId="7" name="_xlnm._FilterDatabase">'Dec 2023'!$A$31:$D$108</definedName>
    <definedName hidden="1" localSheetId="8" name="_xlnm._FilterDatabase">'Jan 2024'!$A$31:$D$81</definedName>
    <definedName hidden="1" localSheetId="9" name="_xlnm._FilterDatabase">'Feb 2024'!$A$32:$D$85</definedName>
    <definedName hidden="1" localSheetId="10" name="_xlnm._FilterDatabase">'March 2024'!$A$33:$D$92</definedName>
    <definedName hidden="1" localSheetId="11" name="_xlnm._FilterDatabase">'April 2024'!$A$33:$D$92</definedName>
    <definedName hidden="1" localSheetId="12" name="_xlnm._FilterDatabase">'May 2024'!$A$33:$D$93</definedName>
    <definedName hidden="1" localSheetId="13" name="_xlnm._FilterDatabase">'June 2024'!$A$33:$D$93</definedName>
    <definedName hidden="1" localSheetId="14" name="_xlnm._FilterDatabase">'July 2024'!$A$33:$D$97</definedName>
    <definedName hidden="1" localSheetId="15" name="_xlnm._FilterDatabase">'Aug 2024'!$A$33:$D$93</definedName>
    <definedName hidden="1" localSheetId="16" name="_xlnm._FilterDatabase">'Sept 2024'!$A$33:$D$106</definedName>
    <definedName hidden="1" localSheetId="17" name="_xlnm._FilterDatabase">'Oct 2024'!$A$33:$D$132</definedName>
    <definedName hidden="1" localSheetId="18" name="_xlnm._FilterDatabase">'November 2024'!$A$33:$D$135</definedName>
    <definedName hidden="1" localSheetId="19" name="_xlnm._FilterDatabase">'December 2024'!$A$33:$D$52</definedName>
    <definedName hidden="1" localSheetId="20" name="_xlnm._FilterDatabase">'Janunary 2025'!$A$33:$D$127</definedName>
    <definedName hidden="1" localSheetId="21" name="_xlnm._FilterDatabase">'Feb 2025'!$A$33:$D$100</definedName>
    <definedName hidden="1" localSheetId="22" name="_xlnm._FilterDatabase">'March 2025'!$A$31:$D$155</definedName>
    <definedName hidden="1" localSheetId="23" name="_xlnm._FilterDatabase">'April 2025'!$A$31:$D$125</definedName>
    <definedName hidden="1" localSheetId="24" name="_xlnm._FilterDatabase">'May 2025'!$A$31:$D$117</definedName>
    <definedName hidden="1" localSheetId="25" name="_xlnm._FilterDatabase">'June 2025'!$A$31:$D$105</definedName>
    <definedName hidden="1" localSheetId="26" name="_xlnm._FilterDatabase">'July 2025'!$A$31:$D$87</definedName>
    <definedName hidden="1" localSheetId="27" name="_xlnm._FilterDatabase">'August 2025'!$A$31:$D$108</definedName>
  </definedNames>
  <calcPr/>
</workbook>
</file>

<file path=xl/sharedStrings.xml><?xml version="1.0" encoding="utf-8"?>
<sst xmlns="http://schemas.openxmlformats.org/spreadsheetml/2006/main" count="5522" uniqueCount="1472">
  <si>
    <t>Monthly Budget - July 2023</t>
  </si>
  <si>
    <t>Monthly Spending</t>
  </si>
  <si>
    <t>Monthly Overview</t>
  </si>
  <si>
    <t>Expenses over Time</t>
  </si>
  <si>
    <t>Category</t>
  </si>
  <si>
    <t>Budgeted</t>
  </si>
  <si>
    <t>Amount         Spent</t>
  </si>
  <si>
    <t>Amount Remaining</t>
  </si>
  <si>
    <t>% Remaining</t>
  </si>
  <si>
    <t>Income</t>
  </si>
  <si>
    <t>Fixed</t>
  </si>
  <si>
    <t>Martin Paycheck</t>
  </si>
  <si>
    <t>Utilities</t>
  </si>
  <si>
    <t>Rachel Paycheck</t>
  </si>
  <si>
    <t>Bills</t>
  </si>
  <si>
    <t>Groceries</t>
  </si>
  <si>
    <t>Monthly Expenses</t>
  </si>
  <si>
    <t>Eating out</t>
  </si>
  <si>
    <t>Total Spent</t>
  </si>
  <si>
    <t>Household Goods</t>
  </si>
  <si>
    <t>Travel Fund</t>
  </si>
  <si>
    <t>Recurring Expenses</t>
  </si>
  <si>
    <t>Gas</t>
  </si>
  <si>
    <t>Car Insurance</t>
  </si>
  <si>
    <t>Health</t>
  </si>
  <si>
    <t>Fun / Misc</t>
  </si>
  <si>
    <t>Amount spent on Travel</t>
  </si>
  <si>
    <t>Total</t>
  </si>
  <si>
    <t>Amount in Travel Bank</t>
  </si>
  <si>
    <t>Date</t>
  </si>
  <si>
    <t>Spent</t>
  </si>
  <si>
    <t>Note</t>
  </si>
  <si>
    <t>Monthly</t>
  </si>
  <si>
    <t>Rent</t>
  </si>
  <si>
    <t>Internet</t>
  </si>
  <si>
    <t>Electric</t>
  </si>
  <si>
    <t>Exercise</t>
  </si>
  <si>
    <t>$9,86</t>
  </si>
  <si>
    <t>Water</t>
  </si>
  <si>
    <t>Spotify - Martin</t>
  </si>
  <si>
    <t>Google One</t>
  </si>
  <si>
    <t>One Drive</t>
  </si>
  <si>
    <t>Phone</t>
  </si>
  <si>
    <t>Car Registration</t>
  </si>
  <si>
    <t>Amazon Lamp</t>
  </si>
  <si>
    <t>phone case</t>
  </si>
  <si>
    <t>Rachel Gas</t>
  </si>
  <si>
    <t>Costco</t>
  </si>
  <si>
    <t>Kbbq with jiaqi</t>
  </si>
  <si>
    <t>H mart</t>
  </si>
  <si>
    <t>blk dog</t>
  </si>
  <si>
    <t>Gift for Martin's Mum</t>
  </si>
  <si>
    <t>Science Lab Donation</t>
  </si>
  <si>
    <t>Costco food court</t>
  </si>
  <si>
    <t>Martin gas</t>
  </si>
  <si>
    <t xml:space="preserve">HEB </t>
  </si>
  <si>
    <t>Tissues</t>
  </si>
  <si>
    <t>costco</t>
  </si>
  <si>
    <t>SSD Enclosure</t>
  </si>
  <si>
    <t>Central market</t>
  </si>
  <si>
    <t xml:space="preserve">Central market </t>
  </si>
  <si>
    <t>Tacos</t>
  </si>
  <si>
    <t>Tj food truck</t>
  </si>
  <si>
    <t xml:space="preserve">Thien than </t>
  </si>
  <si>
    <t>Whole Foods</t>
  </si>
  <si>
    <t>Martin</t>
  </si>
  <si>
    <t>Drivers license</t>
  </si>
  <si>
    <t>Amc ticket</t>
  </si>
  <si>
    <t>Mum Ant</t>
  </si>
  <si>
    <t>Duck</t>
  </si>
  <si>
    <t>Rachel gas</t>
  </si>
  <si>
    <t>Heb</t>
  </si>
  <si>
    <t xml:space="preserve">Fishing license </t>
  </si>
  <si>
    <t>Envelopes</t>
  </si>
  <si>
    <t>McDonalds</t>
  </si>
  <si>
    <t>Eating Out</t>
  </si>
  <si>
    <t>Chick FIl a</t>
  </si>
  <si>
    <t>Uber eats</t>
  </si>
  <si>
    <t xml:space="preserve"> </t>
  </si>
  <si>
    <t>Travel</t>
  </si>
  <si>
    <t>Sephora</t>
  </si>
  <si>
    <t>Amazon makeup</t>
  </si>
  <si>
    <t>Facecremas</t>
  </si>
  <si>
    <t>Amazon</t>
  </si>
  <si>
    <t>Truth BBQ</t>
  </si>
  <si>
    <t>WHBM -rsb</t>
  </si>
  <si>
    <t>Madewell - RSB</t>
  </si>
  <si>
    <t>Club Monaco - RSB</t>
  </si>
  <si>
    <t xml:space="preserve">Raising canes </t>
  </si>
  <si>
    <t>Gift for Eun &amp; John</t>
  </si>
  <si>
    <t>central market</t>
  </si>
  <si>
    <t>Sprinkles cupcake</t>
  </si>
  <si>
    <t>Hatch Chiles</t>
  </si>
  <si>
    <t>Costco Dogs</t>
  </si>
  <si>
    <t xml:space="preserve">Hatch Chiles </t>
  </si>
  <si>
    <t>Central Market</t>
  </si>
  <si>
    <t>Uber Eats</t>
  </si>
  <si>
    <t>Lottery</t>
  </si>
  <si>
    <t>CVS</t>
  </si>
  <si>
    <t>Meat Grinder</t>
  </si>
  <si>
    <t>Mouth Guard</t>
  </si>
  <si>
    <t>Memorial Park Golf</t>
  </si>
  <si>
    <t>Rice to Meet you'</t>
  </si>
  <si>
    <t>HMart</t>
  </si>
  <si>
    <t>Lunch @ Phoenician</t>
  </si>
  <si>
    <t>Seiwa</t>
  </si>
  <si>
    <t>Protein Powder+ Snack</t>
  </si>
  <si>
    <t>Wholefoods</t>
  </si>
  <si>
    <t>SUper Glue</t>
  </si>
  <si>
    <t>Onion</t>
  </si>
  <si>
    <t>HEB</t>
  </si>
  <si>
    <t>"laundromat"</t>
  </si>
  <si>
    <t>Homestead</t>
  </si>
  <si>
    <t>Penn Sation</t>
  </si>
  <si>
    <t>Subway</t>
  </si>
  <si>
    <t>GEICO</t>
  </si>
  <si>
    <t>NY Misc</t>
  </si>
  <si>
    <t>Misc</t>
  </si>
  <si>
    <t>Catbird</t>
  </si>
  <si>
    <t>Lyft</t>
  </si>
  <si>
    <t>Dinner w Michelle</t>
  </si>
  <si>
    <t>Bollo</t>
  </si>
  <si>
    <t>Sam's Club</t>
  </si>
  <si>
    <t>Bamboo house</t>
  </si>
  <si>
    <t>Refund</t>
  </si>
  <si>
    <t>WHoleFoods</t>
  </si>
  <si>
    <t>Kim son</t>
  </si>
  <si>
    <t>Sam's club</t>
  </si>
  <si>
    <t>Coffee</t>
  </si>
  <si>
    <t>$53,66</t>
  </si>
  <si>
    <t>Aka Sushi</t>
  </si>
  <si>
    <t>Hmart</t>
  </si>
  <si>
    <t>San Dong</t>
  </si>
  <si>
    <t>Torchy's Tacos</t>
  </si>
  <si>
    <t>Coco Crepes</t>
  </si>
  <si>
    <t>Birthday Cake</t>
  </si>
  <si>
    <t>Pillow</t>
  </si>
  <si>
    <t>rachel bday</t>
  </si>
  <si>
    <t>Kitchenaid</t>
  </si>
  <si>
    <t>Air Filter</t>
  </si>
  <si>
    <t>Luna's</t>
  </si>
  <si>
    <t>Bori - Rachel Bday</t>
  </si>
  <si>
    <t>Parking</t>
  </si>
  <si>
    <t>Niko Niko's</t>
  </si>
  <si>
    <t xml:space="preserve"> Parking</t>
  </si>
  <si>
    <t>Hip fitness</t>
  </si>
  <si>
    <t>uBER eATS</t>
  </si>
  <si>
    <t>iphone</t>
  </si>
  <si>
    <t>Dentist</t>
  </si>
  <si>
    <t>Canes</t>
  </si>
  <si>
    <t>REI - Martin</t>
  </si>
  <si>
    <t>Museum</t>
  </si>
  <si>
    <t>Gao's + 85 deg</t>
  </si>
  <si>
    <t>IWA ya</t>
  </si>
  <si>
    <t>Martin - Gas</t>
  </si>
  <si>
    <t>HEB &amp; Costco</t>
  </si>
  <si>
    <t>WHole foods</t>
  </si>
  <si>
    <t>Phone case &amp; screen</t>
  </si>
  <si>
    <t>`</t>
  </si>
  <si>
    <t>Whole foods (9/24 and 27)</t>
  </si>
  <si>
    <t>Wedding Gift</t>
  </si>
  <si>
    <t xml:space="preserve">Travel mistake :( </t>
  </si>
  <si>
    <t>New Placeoff Option</t>
  </si>
  <si>
    <t>Quit Cutoff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</si>
  <si>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</si>
  <si>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</si>
  <si>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</si>
  <si>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</si>
  <si>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</si>
  <si>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</si>
  <si>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</si>
  <si>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</si>
  <si>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</si>
  <si>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</si>
  <si>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</si>
  <si>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</si>
  <si>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</si>
  <si>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</si>
  <si>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</si>
  <si>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</si>
  <si>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</si>
  <si>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</si>
  <si>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</si>
  <si>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</si>
  <si>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</si>
  <si>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</si>
  <si>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</si>
  <si>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</si>
  <si>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</si>
  <si>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</si>
  <si>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</si>
  <si>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</si>
  <si>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</si>
  <si>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</si>
  <si>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</si>
  <si>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</si>
  <si>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</si>
  <si>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</si>
  <si>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</si>
  <si>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</si>
  <si>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Rachel</t>
  </si>
  <si>
    <t>Rotation 2 Start</t>
  </si>
  <si>
    <t>R2 End</t>
  </si>
  <si>
    <t>Rotation 3 Start</t>
  </si>
  <si>
    <t>R3 End</t>
  </si>
  <si>
    <t>PO 1</t>
  </si>
  <si>
    <t>PO2</t>
  </si>
  <si>
    <t>PO 3</t>
  </si>
  <si>
    <t>PO 4</t>
  </si>
  <si>
    <t>PO 5</t>
  </si>
  <si>
    <t>PO 6</t>
  </si>
  <si>
    <t>PO 7</t>
  </si>
  <si>
    <t>PO 8</t>
  </si>
  <si>
    <t xml:space="preserve">PO 9 </t>
  </si>
  <si>
    <t>PO 10</t>
  </si>
  <si>
    <t>PO 11</t>
  </si>
  <si>
    <t>PO 12</t>
  </si>
  <si>
    <t>PO 13</t>
  </si>
  <si>
    <t>PO 14</t>
  </si>
  <si>
    <t>PO 15</t>
  </si>
  <si>
    <t>PO 16</t>
  </si>
  <si>
    <t>PO 17</t>
  </si>
  <si>
    <t>PO 18</t>
  </si>
  <si>
    <t>PO 19</t>
  </si>
  <si>
    <t>PO 20</t>
  </si>
  <si>
    <t>PO 21</t>
  </si>
  <si>
    <t>PO 22</t>
  </si>
  <si>
    <t>PO 23</t>
  </si>
  <si>
    <t>PO 24</t>
  </si>
  <si>
    <t>PO 25</t>
  </si>
  <si>
    <t>Rachel Location</t>
  </si>
  <si>
    <t>Houston</t>
  </si>
  <si>
    <t>NC</t>
  </si>
  <si>
    <t>NC/Houston</t>
  </si>
  <si>
    <t>Business School Start</t>
  </si>
  <si>
    <t>New Job Start</t>
  </si>
  <si>
    <t>Martin Location</t>
  </si>
  <si>
    <t>Chicago / Boston / NY</t>
  </si>
  <si>
    <t>NY/California/DC</t>
  </si>
  <si>
    <t>Costs</t>
  </si>
  <si>
    <t>Amount (use all positive #s)</t>
  </si>
  <si>
    <t>Number of Times Billed</t>
  </si>
  <si>
    <t>Total Cost</t>
  </si>
  <si>
    <t>Tuition (total sticker amount across 2 years)</t>
  </si>
  <si>
    <t>Booth Deposits &amp; Fees Lost</t>
  </si>
  <si>
    <t>Student Services Fee</t>
  </si>
  <si>
    <t>Health Insurance</t>
  </si>
  <si>
    <t>Computer Allowance</t>
  </si>
  <si>
    <t>Clothes</t>
  </si>
  <si>
    <t>Clubs / Memberships</t>
  </si>
  <si>
    <t>Apartment rent/utilities</t>
  </si>
  <si>
    <t>Transport</t>
  </si>
  <si>
    <t>Dining out</t>
  </si>
  <si>
    <t>Additional / miscellaneous</t>
  </si>
  <si>
    <t>Financing/Income</t>
  </si>
  <si>
    <t>Wei Wu Business School Option Fund</t>
  </si>
  <si>
    <t>Points Expenses</t>
  </si>
  <si>
    <t>Travel Expenses</t>
  </si>
  <si>
    <t>Total Available</t>
  </si>
  <si>
    <t>% Allocation</t>
  </si>
  <si>
    <t>Actual Allocation</t>
  </si>
  <si>
    <t>Amount Transferred</t>
  </si>
  <si>
    <t>Amex Points</t>
  </si>
  <si>
    <t>Amount</t>
  </si>
  <si>
    <t>Person</t>
  </si>
  <si>
    <t>Type</t>
  </si>
  <si>
    <t>Funding from Mom</t>
  </si>
  <si>
    <t>July 4th</t>
  </si>
  <si>
    <t>Sept 2024</t>
  </si>
  <si>
    <t>Flight</t>
  </si>
  <si>
    <t>Stocks / Investments - Schwab</t>
  </si>
  <si>
    <t>2024 Rent</t>
  </si>
  <si>
    <t>Treasury MM Fund - VUSXX (Vanguard)</t>
  </si>
  <si>
    <t>June 6th</t>
  </si>
  <si>
    <t>Treasury MM Fund - VUSXX (Chase)</t>
  </si>
  <si>
    <t>May</t>
  </si>
  <si>
    <t>Thanksgiving</t>
  </si>
  <si>
    <t>Crypto</t>
  </si>
  <si>
    <t>April - Birthday</t>
  </si>
  <si>
    <t>Used for Booth Deposit</t>
  </si>
  <si>
    <t>Rachel Income ($2k/Mo * 21)</t>
  </si>
  <si>
    <t xml:space="preserve">April </t>
  </si>
  <si>
    <t>Internship Salary</t>
  </si>
  <si>
    <t>August</t>
  </si>
  <si>
    <t>Rachel Uber</t>
  </si>
  <si>
    <t>Delta to make up</t>
  </si>
  <si>
    <t>Business School Expenses</t>
  </si>
  <si>
    <t>Within Monthly Budget?</t>
  </si>
  <si>
    <t>Booth Deposit</t>
  </si>
  <si>
    <t>Yes</t>
  </si>
  <si>
    <t>MIT Deposit</t>
  </si>
  <si>
    <t>No</t>
  </si>
  <si>
    <t>Random Walk Deposit</t>
  </si>
  <si>
    <t>Re Vera</t>
  </si>
  <si>
    <t xml:space="preserve">Apartment Application Fee </t>
  </si>
  <si>
    <t>Textbook - Discrete Math</t>
  </si>
  <si>
    <t>Rent (Aug - End of Jan)</t>
  </si>
  <si>
    <t>Prefunction Trip</t>
  </si>
  <si>
    <t>Club Dues</t>
  </si>
  <si>
    <t>IAH to RDU - RBL</t>
  </si>
  <si>
    <t>Costco - air purifier</t>
  </si>
  <si>
    <t xml:space="preserve">Maht gaek </t>
  </si>
  <si>
    <t xml:space="preserve">DART - round trip </t>
  </si>
  <si>
    <t xml:space="preserve">State fair </t>
  </si>
  <si>
    <t>Gopchangstory</t>
  </si>
  <si>
    <t xml:space="preserve">Korean fried chicken </t>
  </si>
  <si>
    <t xml:space="preserve">Gas </t>
  </si>
  <si>
    <t xml:space="preserve">Costco gas </t>
  </si>
  <si>
    <t xml:space="preserve">Costco </t>
  </si>
  <si>
    <t xml:space="preserve">Valet </t>
  </si>
  <si>
    <t xml:space="preserve">Taco Bell </t>
  </si>
  <si>
    <t>Wendys</t>
  </si>
  <si>
    <t>Skinceuticals</t>
  </si>
  <si>
    <t>Nintendo Switch</t>
  </si>
  <si>
    <t>Parking Spot</t>
  </si>
  <si>
    <t xml:space="preserve">Quest </t>
  </si>
  <si>
    <t>Wrist Brace</t>
  </si>
  <si>
    <t>Lunch Rachel Fadi</t>
  </si>
  <si>
    <t>Harris Teeter</t>
  </si>
  <si>
    <t>Cafe</t>
  </si>
  <si>
    <t>Hinnant</t>
  </si>
  <si>
    <t>BASF Cafe</t>
  </si>
  <si>
    <t>Citiline</t>
  </si>
  <si>
    <t>Milan</t>
  </si>
  <si>
    <t>Disney+</t>
  </si>
  <si>
    <t>Freebirds</t>
  </si>
  <si>
    <t>$6,38</t>
  </si>
  <si>
    <t>Bucee</t>
  </si>
  <si>
    <t>Bucees</t>
  </si>
  <si>
    <t>Rainforest Cafe</t>
  </si>
  <si>
    <t>Juiceland</t>
  </si>
  <si>
    <t>Gas - martin</t>
  </si>
  <si>
    <t>citiline</t>
  </si>
  <si>
    <t>dentist</t>
  </si>
  <si>
    <t>Lunch - rachel</t>
  </si>
  <si>
    <t>Vegas trip - martin</t>
  </si>
  <si>
    <t>BBQ</t>
  </si>
  <si>
    <t>1618 (Austin)</t>
  </si>
  <si>
    <t>Donut</t>
  </si>
  <si>
    <t>Mala</t>
  </si>
  <si>
    <t>Korean Ginseng</t>
  </si>
  <si>
    <t>Gregmat</t>
  </si>
  <si>
    <t>Vocab App</t>
  </si>
  <si>
    <t>99 ranch</t>
  </si>
  <si>
    <t>Gas - Martin</t>
  </si>
  <si>
    <t>10/30/</t>
  </si>
  <si>
    <t>Audible</t>
  </si>
  <si>
    <t>martin</t>
  </si>
  <si>
    <t>Logan</t>
  </si>
  <si>
    <t>Howard</t>
  </si>
  <si>
    <t>Matt</t>
  </si>
  <si>
    <t>Greg</t>
  </si>
  <si>
    <t xml:space="preserve">The Henry breakfast </t>
  </si>
  <si>
    <t xml:space="preserve">Liquor </t>
  </si>
  <si>
    <t>Bacchanal</t>
  </si>
  <si>
    <t>Fantasy</t>
  </si>
  <si>
    <t>Hotel</t>
  </si>
  <si>
    <t>Yellowtail</t>
  </si>
  <si>
    <t>Photbook</t>
  </si>
  <si>
    <t>Ka</t>
  </si>
  <si>
    <t>Vegas FLight &amp; Hotel</t>
  </si>
  <si>
    <t>Verizon Stuff</t>
  </si>
  <si>
    <t>Maldives</t>
  </si>
  <si>
    <t>Lunch in Vegas</t>
  </si>
  <si>
    <t>Rachel Lunch</t>
  </si>
  <si>
    <t>Panda Express</t>
  </si>
  <si>
    <t>parking</t>
  </si>
  <si>
    <t>Travel Insurance</t>
  </si>
  <si>
    <t>Great Wall Groceries</t>
  </si>
  <si>
    <t>Mein</t>
  </si>
  <si>
    <t>Louve Tix</t>
  </si>
  <si>
    <t>GRE</t>
  </si>
  <si>
    <t>HMart Groceries</t>
  </si>
  <si>
    <t>Local Foods</t>
  </si>
  <si>
    <t>Chipotle</t>
  </si>
  <si>
    <t>Kings Bierhaus</t>
  </si>
  <si>
    <t>Pokemon Cards</t>
  </si>
  <si>
    <t>ABC Magnet</t>
  </si>
  <si>
    <t>Chick Fil a</t>
  </si>
  <si>
    <t>Coffee bean</t>
  </si>
  <si>
    <t>Cosmo Lunch</t>
  </si>
  <si>
    <t>Alcohol</t>
  </si>
  <si>
    <t>Caesar's</t>
  </si>
  <si>
    <t xml:space="preserve">Water </t>
  </si>
  <si>
    <t>Eggslut</t>
  </si>
  <si>
    <t>Nintendo Subscription</t>
  </si>
  <si>
    <t>Martin Gas</t>
  </si>
  <si>
    <t>85 Degree Bakery</t>
  </si>
  <si>
    <t>Bamboo House</t>
  </si>
  <si>
    <t>$175,74</t>
  </si>
  <si>
    <t>Whole foods</t>
  </si>
  <si>
    <t>Amazon Stuff</t>
  </si>
  <si>
    <t>Sim card</t>
  </si>
  <si>
    <t>whole foods</t>
  </si>
  <si>
    <t>amazon Stuff</t>
  </si>
  <si>
    <t>Baggage fees</t>
  </si>
  <si>
    <t>RATP</t>
  </si>
  <si>
    <t>MCDONALDS 549   2402927</t>
  </si>
  <si>
    <t>REST PHOENIX</t>
  </si>
  <si>
    <t>JFPM GLOBAL</t>
  </si>
  <si>
    <t>APPLE.COM/BILL</t>
  </si>
  <si>
    <t>BASILIQUE S C   4528229</t>
  </si>
  <si>
    <t>TAVERNE DE ZHAO</t>
  </si>
  <si>
    <t>PHARMACIE BADER 2038241</t>
  </si>
  <si>
    <t>SC-GRENIER PAIN</t>
  </si>
  <si>
    <t>CAUDALIE 775108</t>
  </si>
  <si>
    <t>SNCF</t>
  </si>
  <si>
    <t>SARL VIE</t>
  </si>
  <si>
    <t>FRAGONARD OPERA</t>
  </si>
  <si>
    <t>Hotel du Louvre</t>
  </si>
  <si>
    <t>COM</t>
  </si>
  <si>
    <t>phone case gift</t>
  </si>
  <si>
    <t>AplPay CHICK-FIL-A #HOUSTON  TX</t>
  </si>
  <si>
    <t>GASTRONOMIE /CONFIS.TREMBLAY  EN  FRANCEFR</t>
  </si>
  <si>
    <t>ACABA  PARIS</t>
  </si>
  <si>
    <t>PIERRE HERM  OP RA  PARIS</t>
  </si>
  <si>
    <t>GALERIES LAFAYETTE GPARIS  FR</t>
  </si>
  <si>
    <t>RST BRONGNIART  PARIS  FR</t>
  </si>
  <si>
    <t>DELL INC  ROUND ROCK  TX</t>
  </si>
  <si>
    <t>DUCASSE VERSAILLE  VERSAILLES  FR</t>
  </si>
  <si>
    <t>AplPay NEWEGG TEXAS CITY OF INDUS  CA</t>
  </si>
  <si>
    <t>CHICOREE  PARIS</t>
  </si>
  <si>
    <t>LASSERRE  PARIS</t>
  </si>
  <si>
    <t>AplPay MYPROTEIN.COMUNITED STATES</t>
  </si>
  <si>
    <t>CAFE BLANC  PARIS</t>
  </si>
  <si>
    <t>LAC CG 33  PARIS  FR</t>
  </si>
  <si>
    <t>AplPay AIRALO  SINGAPORE  SG</t>
  </si>
  <si>
    <t>PIrate Ship</t>
  </si>
  <si>
    <t>Go-karting</t>
  </si>
  <si>
    <t>Book</t>
  </si>
  <si>
    <t>Raising Canes</t>
  </si>
  <si>
    <t>Dimsum</t>
  </si>
  <si>
    <t>Family Trip</t>
  </si>
  <si>
    <t>Boat Rental</t>
  </si>
  <si>
    <t>Roostar</t>
  </si>
  <si>
    <t>Adidas</t>
  </si>
  <si>
    <t>Mucinex</t>
  </si>
  <si>
    <t>Wings + pizza</t>
  </si>
  <si>
    <t>leather jackets</t>
  </si>
  <si>
    <t>Mom's iphone</t>
  </si>
  <si>
    <t>Josh Blanket</t>
  </si>
  <si>
    <t>Casetify</t>
  </si>
  <si>
    <t>Universal</t>
  </si>
  <si>
    <t>Pho</t>
  </si>
  <si>
    <t>T-shirt</t>
  </si>
  <si>
    <t>Domino's</t>
  </si>
  <si>
    <t>J.crew</t>
  </si>
  <si>
    <t>Jason's Delli RDU</t>
  </si>
  <si>
    <t>HT</t>
  </si>
  <si>
    <t>Tribeca</t>
  </si>
  <si>
    <t>Okja</t>
  </si>
  <si>
    <t>MCDs</t>
  </si>
  <si>
    <t>Household goods</t>
  </si>
  <si>
    <t>Barnes</t>
  </si>
  <si>
    <t>Cofee</t>
  </si>
  <si>
    <t>Smashburger</t>
  </si>
  <si>
    <t>Bori</t>
  </si>
  <si>
    <t>UBer</t>
  </si>
  <si>
    <t>Great Wlal</t>
  </si>
  <si>
    <t>Jcrew</t>
  </si>
  <si>
    <t>Jcrew - Caml Hair</t>
  </si>
  <si>
    <t>WF</t>
  </si>
  <si>
    <t>Domion's</t>
  </si>
  <si>
    <t>Parking Drop off</t>
  </si>
  <si>
    <t>Rockets Tickets</t>
  </si>
  <si>
    <t>Application Fees</t>
  </si>
  <si>
    <t>Dooki</t>
  </si>
  <si>
    <t>Landry's Seafood</t>
  </si>
  <si>
    <t>Rim Tanon</t>
  </si>
  <si>
    <t>Flights to Newark - Work Relocation</t>
  </si>
  <si>
    <t>Flights to RDU - Wedding</t>
  </si>
  <si>
    <t>Dinner party - Costco &amp; Liquor</t>
  </si>
  <si>
    <t>Rachel Eye Doctor</t>
  </si>
  <si>
    <t>HEB Groceries for Dinner Party</t>
  </si>
  <si>
    <t>Chick fil a</t>
  </si>
  <si>
    <t>Natori</t>
  </si>
  <si>
    <t>Watch</t>
  </si>
  <si>
    <t>saks soup dishes</t>
  </si>
  <si>
    <t xml:space="preserve">raising canes </t>
  </si>
  <si>
    <t>hello kitty backpack</t>
  </si>
  <si>
    <t>per diem</t>
  </si>
  <si>
    <t>air wrap</t>
  </si>
  <si>
    <t>panda express</t>
  </si>
  <si>
    <t>HP</t>
  </si>
  <si>
    <t>rim tanon</t>
  </si>
  <si>
    <t>garetts popcorn</t>
  </si>
  <si>
    <t>credit check</t>
  </si>
  <si>
    <t>chicago flight - interview</t>
  </si>
  <si>
    <t>MSFT</t>
  </si>
  <si>
    <t>Airport Parking</t>
  </si>
  <si>
    <t>Flight to RDU - Duke Interview</t>
  </si>
  <si>
    <t>LUNA PIZZERIA - KIRBY</t>
  </si>
  <si>
    <t>AAA H GALLERIA-R</t>
  </si>
  <si>
    <t>Dinner Parking</t>
  </si>
  <si>
    <t>COSTCO WHSE #1018</t>
  </si>
  <si>
    <t>H-E-B #630</t>
  </si>
  <si>
    <t>TST* BURGER JOINT MONTROS</t>
  </si>
  <si>
    <t>Valentines Gift</t>
  </si>
  <si>
    <t>Passport Photos</t>
  </si>
  <si>
    <t>Italy Tickets</t>
  </si>
  <si>
    <t>Earrings</t>
  </si>
  <si>
    <t>Gas - Rachel</t>
  </si>
  <si>
    <t>Toyota Center</t>
  </si>
  <si>
    <t>Bombas</t>
  </si>
  <si>
    <t>Rachel Contacts</t>
  </si>
  <si>
    <t>Whataburger</t>
  </si>
  <si>
    <t>Duke Visit Misc Expenses</t>
  </si>
  <si>
    <t>Oil Change</t>
  </si>
  <si>
    <t>Permanent Bracelet</t>
  </si>
  <si>
    <t>Juice</t>
  </si>
  <si>
    <t>Costco Lunch</t>
  </si>
  <si>
    <t>Nintendo</t>
  </si>
  <si>
    <t>Hair Product</t>
  </si>
  <si>
    <t>chickfila</t>
  </si>
  <si>
    <t xml:space="preserve">giordanos deep dish </t>
  </si>
  <si>
    <t xml:space="preserve">chicago ubers </t>
  </si>
  <si>
    <t>pho</t>
  </si>
  <si>
    <t xml:space="preserve">rodeo - food </t>
  </si>
  <si>
    <t>airport lyft</t>
  </si>
  <si>
    <t>crawfish cafe</t>
  </si>
  <si>
    <t xml:space="preserve">moge tea </t>
  </si>
  <si>
    <t>microsoft store</t>
  </si>
  <si>
    <t xml:space="preserve">college board </t>
  </si>
  <si>
    <t xml:space="preserve">walgreens </t>
  </si>
  <si>
    <t xml:space="preserve">shangs noodles </t>
  </si>
  <si>
    <t>airport food</t>
  </si>
  <si>
    <t>gas</t>
  </si>
  <si>
    <t xml:space="preserve">bamboo house </t>
  </si>
  <si>
    <t>uber</t>
  </si>
  <si>
    <t>Renters insurance</t>
  </si>
  <si>
    <t>amazon</t>
  </si>
  <si>
    <t xml:space="preserve">gin and tonic </t>
  </si>
  <si>
    <t xml:space="preserve">glass gifts </t>
  </si>
  <si>
    <t xml:space="preserve">office parking </t>
  </si>
  <si>
    <t xml:space="preserve">italy train tickets </t>
  </si>
  <si>
    <t xml:space="preserve">burger joint </t>
  </si>
  <si>
    <t>cooking girl</t>
  </si>
  <si>
    <t xml:space="preserve">travel meals </t>
  </si>
  <si>
    <t>sim cards</t>
  </si>
  <si>
    <t>italy pt 1</t>
  </si>
  <si>
    <t>italy p2</t>
  </si>
  <si>
    <t xml:space="preserve">premoving misc </t>
  </si>
  <si>
    <t xml:space="preserve">airport uber </t>
  </si>
  <si>
    <t>movies</t>
  </si>
  <si>
    <t xml:space="preserve">uber </t>
  </si>
  <si>
    <t xml:space="preserve">haircut </t>
  </si>
  <si>
    <t>BASF lunch</t>
  </si>
  <si>
    <t>walmart</t>
  </si>
  <si>
    <t xml:space="preserve">ubers </t>
  </si>
  <si>
    <t>car rental</t>
  </si>
  <si>
    <t xml:space="preserve">eating out </t>
  </si>
  <si>
    <t>lyft</t>
  </si>
  <si>
    <t>italy pt3</t>
  </si>
  <si>
    <t>spruce</t>
  </si>
  <si>
    <t>pastrami house</t>
  </si>
  <si>
    <t>reigning champ</t>
  </si>
  <si>
    <t>chicago visit</t>
  </si>
  <si>
    <t>mm fund</t>
  </si>
  <si>
    <t>Taco Bell</t>
  </si>
  <si>
    <t>Sankalp</t>
  </si>
  <si>
    <t>Plunger</t>
  </si>
  <si>
    <t>Electric Bill</t>
  </si>
  <si>
    <t>Costco Refund</t>
  </si>
  <si>
    <t>Walmart</t>
  </si>
  <si>
    <t>Beer</t>
  </si>
  <si>
    <t>Gas - MD Trip</t>
  </si>
  <si>
    <t>Ekiben</t>
  </si>
  <si>
    <t>Bagerls</t>
  </si>
  <si>
    <t>Bakery</t>
  </si>
  <si>
    <t>Thai STreet</t>
  </si>
  <si>
    <t>Wendeez Nuts</t>
  </si>
  <si>
    <t>Business School</t>
  </si>
  <si>
    <t>Theraband</t>
  </si>
  <si>
    <t>Josh Present</t>
  </si>
  <si>
    <t>Asia Grocery Store</t>
  </si>
  <si>
    <t>Dry Cleaning</t>
  </si>
  <si>
    <t>Rhythm</t>
  </si>
  <si>
    <t>Lingo</t>
  </si>
  <si>
    <t>NY Uber</t>
  </si>
  <si>
    <t>NY Trist</t>
  </si>
  <si>
    <t>NJ Transit</t>
  </si>
  <si>
    <t>Hot doggo</t>
  </si>
  <si>
    <t>Candle</t>
  </si>
  <si>
    <t>Wegmans</t>
  </si>
  <si>
    <t>Uber</t>
  </si>
  <si>
    <t>ihop</t>
  </si>
  <si>
    <t>Shoes</t>
  </si>
  <si>
    <t>Caudalie</t>
  </si>
  <si>
    <t>Taxes</t>
  </si>
  <si>
    <t>Dress</t>
  </si>
  <si>
    <t>La Maison Final Charges</t>
  </si>
  <si>
    <t>SHoprite</t>
  </si>
  <si>
    <t>Gas-Martin</t>
  </si>
  <si>
    <t>EZ Pass</t>
  </si>
  <si>
    <t>United Flight Change</t>
  </si>
  <si>
    <t>Italy Fine</t>
  </si>
  <si>
    <t>Lunch</t>
  </si>
  <si>
    <t>Chicago Metro</t>
  </si>
  <si>
    <t>Groceries - Chinese</t>
  </si>
  <si>
    <t>Cables</t>
  </si>
  <si>
    <t>Temu</t>
  </si>
  <si>
    <t>Marmot Jacket</t>
  </si>
  <si>
    <t>Mac - Business School</t>
  </si>
  <si>
    <t>Deposit for Random Walk</t>
  </si>
  <si>
    <t>DoorDash</t>
  </si>
  <si>
    <t>Bonchon$17,57</t>
  </si>
  <si>
    <t>Weggies</t>
  </si>
  <si>
    <t>Gamba</t>
  </si>
  <si>
    <t>Hangry Joes</t>
  </si>
  <si>
    <t>BASF Lunch</t>
  </si>
  <si>
    <t>MTA</t>
  </si>
  <si>
    <t>Morristown Parking</t>
  </si>
  <si>
    <t>Samwoojang Korean Lunch</t>
  </si>
  <si>
    <t>Tiki Chick</t>
  </si>
  <si>
    <t>Kan Mam</t>
  </si>
  <si>
    <t>Airalo-Esim</t>
  </si>
  <si>
    <t>Deez nuts</t>
  </si>
  <si>
    <t>EWR Water</t>
  </si>
  <si>
    <t>Costa Rica ATM Pull</t>
  </si>
  <si>
    <t>Car Rental - CR</t>
  </si>
  <si>
    <t>Poncho</t>
  </si>
  <si>
    <t>Boragin</t>
  </si>
  <si>
    <t>National Park</t>
  </si>
  <si>
    <t>United Seat Selection</t>
  </si>
  <si>
    <t>Andaz Dinner</t>
  </si>
  <si>
    <t>Ticket to RDU</t>
  </si>
  <si>
    <t>Wendeez</t>
  </si>
  <si>
    <t>Duke Parking Hospital</t>
  </si>
  <si>
    <t>Papbingsu</t>
  </si>
  <si>
    <t>HMART</t>
  </si>
  <si>
    <t>Wedding Gift - Kristina</t>
  </si>
  <si>
    <t>Condoms</t>
  </si>
  <si>
    <t>Amazon Filters</t>
  </si>
  <si>
    <t>Mcds</t>
  </si>
  <si>
    <t>Wedding Gift - Registry</t>
  </si>
  <si>
    <t>Flight to RDU</t>
  </si>
  <si>
    <t>Passport Renewal</t>
  </si>
  <si>
    <t>Ticket to city</t>
  </si>
  <si>
    <t>Levain Bakery</t>
  </si>
  <si>
    <t>DD</t>
  </si>
  <si>
    <t>Lethal Company</t>
  </si>
  <si>
    <t>Namkeen</t>
  </si>
  <si>
    <t>Passport renewal</t>
  </si>
  <si>
    <t>Kam Mam</t>
  </si>
  <si>
    <t>GRE Score Report</t>
  </si>
  <si>
    <t>MPP App Fee</t>
  </si>
  <si>
    <t>Train to NY</t>
  </si>
  <si>
    <t>Hamilton Tickets</t>
  </si>
  <si>
    <t>Morristown Station Parking</t>
  </si>
  <si>
    <t>Croissant Bag</t>
  </si>
  <si>
    <t>Mackyd</t>
  </si>
  <si>
    <t>Coffee and Bagel</t>
  </si>
  <si>
    <t>J-Crew</t>
  </si>
  <si>
    <t>JCREW</t>
  </si>
  <si>
    <t>Office Lunch</t>
  </si>
  <si>
    <t>Walmart +</t>
  </si>
  <si>
    <t>ice cream</t>
  </si>
  <si>
    <t>McDonald's</t>
  </si>
  <si>
    <t>Mcdonald's</t>
  </si>
  <si>
    <t>Gift Card for Katherine</t>
  </si>
  <si>
    <t>Sassool</t>
  </si>
  <si>
    <t>Penn Station Lunch</t>
  </si>
  <si>
    <t>YoonGalbe</t>
  </si>
  <si>
    <t>NJ TRansit</t>
  </si>
  <si>
    <t xml:space="preserve">Bagel </t>
  </si>
  <si>
    <t>2516 Insurance</t>
  </si>
  <si>
    <t>Mcdonalds+Sushi</t>
  </si>
  <si>
    <t>mcmuffin</t>
  </si>
  <si>
    <t>Textbook</t>
  </si>
  <si>
    <t>KaMAMAN</t>
  </si>
  <si>
    <t>COSTO</t>
  </si>
  <si>
    <t>Tim ho wan</t>
  </si>
  <si>
    <t>SUBWAY</t>
  </si>
  <si>
    <t xml:space="preserve">Morristown Train + </t>
  </si>
  <si>
    <t>Pizza</t>
  </si>
  <si>
    <t>Wicked</t>
  </si>
  <si>
    <t>CVS Drinks</t>
  </si>
  <si>
    <t>Shoprite</t>
  </si>
  <si>
    <t>Quick Check</t>
  </si>
  <si>
    <t>Costco + Kam man</t>
  </si>
  <si>
    <t>Edibles</t>
  </si>
  <si>
    <t>tTacobel</t>
  </si>
  <si>
    <t>Sugarfish</t>
  </si>
  <si>
    <t>Bra</t>
  </si>
  <si>
    <t>Duke Health Visit</t>
  </si>
  <si>
    <t>Hygeiene</t>
  </si>
  <si>
    <t>Costo dog</t>
  </si>
  <si>
    <t>Paper</t>
  </si>
  <si>
    <t>Quickcheck</t>
  </si>
  <si>
    <t>EWR parking</t>
  </si>
  <si>
    <t>Golf with matt</t>
  </si>
  <si>
    <t>Amazon something</t>
  </si>
  <si>
    <t>Sugar Fish</t>
  </si>
  <si>
    <t>MCds</t>
  </si>
  <si>
    <t>Dominic Ansel</t>
  </si>
  <si>
    <t>United flight Change</t>
  </si>
  <si>
    <t>Costco Hot dog</t>
  </si>
  <si>
    <t>Kam man</t>
  </si>
  <si>
    <t>Jetblue SJU to RDU</t>
  </si>
  <si>
    <t>Shop Rite</t>
  </si>
  <si>
    <t>Panda</t>
  </si>
  <si>
    <t xml:space="preserve">Zaab </t>
  </si>
  <si>
    <t>HIDE AND SEEK</t>
  </si>
  <si>
    <t>Asahi</t>
  </si>
  <si>
    <t>Toothbrush</t>
  </si>
  <si>
    <t>KFT</t>
  </si>
  <si>
    <t>Wawa starbucks</t>
  </si>
  <si>
    <t>Guggenheim</t>
  </si>
  <si>
    <t>Sweetgreen</t>
  </si>
  <si>
    <t>IU Parking</t>
  </si>
  <si>
    <t>Morristown parking</t>
  </si>
  <si>
    <t>Haircut</t>
  </si>
  <si>
    <t>Costco Membership</t>
  </si>
  <si>
    <t>Movie tickets</t>
  </si>
  <si>
    <t>Costco + kam man</t>
  </si>
  <si>
    <t>Atlantic City</t>
  </si>
  <si>
    <t>Gambling Winnings</t>
  </si>
  <si>
    <t>Spothero Parking</t>
  </si>
  <si>
    <t>Mcdonalds</t>
  </si>
  <si>
    <t>Best Buy</t>
  </si>
  <si>
    <t>Vision</t>
  </si>
  <si>
    <t>Glasses</t>
  </si>
  <si>
    <t>Shopirate</t>
  </si>
  <si>
    <t>Delta Airlines</t>
  </si>
  <si>
    <t>Monster Jam</t>
  </si>
  <si>
    <t>Millie's meatballs</t>
  </si>
  <si>
    <t>Flight - Rachel</t>
  </si>
  <si>
    <t>Zaab Zaab</t>
  </si>
  <si>
    <t>Labor day Dinner</t>
  </si>
  <si>
    <t>ML</t>
  </si>
  <si>
    <t>Pre function trip</t>
  </si>
  <si>
    <t>August Amazon</t>
  </si>
  <si>
    <t>NJ Ez pass</t>
  </si>
  <si>
    <t>move-in groceries</t>
  </si>
  <si>
    <t>Move in household</t>
  </si>
  <si>
    <t>August Restuarants</t>
  </si>
  <si>
    <t>Protein</t>
  </si>
  <si>
    <t>Slaon Groups</t>
  </si>
  <si>
    <t>Kam Man</t>
  </si>
  <si>
    <t>Travel Hiccup</t>
  </si>
  <si>
    <t>Liquor store</t>
  </si>
  <si>
    <t>Zbiotic</t>
  </si>
  <si>
    <t>August Restaurants</t>
  </si>
  <si>
    <t>LIRR</t>
  </si>
  <si>
    <t>Crepes</t>
  </si>
  <si>
    <t>blue bike membership</t>
  </si>
  <si>
    <t>si cara</t>
  </si>
  <si>
    <t xml:space="preserve">mass ave wine </t>
  </si>
  <si>
    <t>concert funsies</t>
  </si>
  <si>
    <t>Split</t>
  </si>
  <si>
    <t xml:space="preserve">Credit balance (9/29) </t>
  </si>
  <si>
    <t>RSB Chase</t>
  </si>
  <si>
    <t xml:space="preserve">6k from 4668 card </t>
  </si>
  <si>
    <t>RSB Amex</t>
  </si>
  <si>
    <t>RSB Barclay</t>
  </si>
  <si>
    <t>ML Chase</t>
  </si>
  <si>
    <t xml:space="preserve">ML Amex </t>
  </si>
  <si>
    <t xml:space="preserve">only amex gold </t>
  </si>
  <si>
    <t>ML Barclay</t>
  </si>
  <si>
    <t>TOTAL</t>
  </si>
  <si>
    <t>Dinner &amp; Drinks</t>
  </si>
  <si>
    <t>Danielle Wedding Gift</t>
  </si>
  <si>
    <t>SO event</t>
  </si>
  <si>
    <t>Laundry</t>
  </si>
  <si>
    <t>Walgreens</t>
  </si>
  <si>
    <t>Blue bike</t>
  </si>
  <si>
    <t>Drinks</t>
  </si>
  <si>
    <t>Pirate Ship</t>
  </si>
  <si>
    <t>Going</t>
  </si>
  <si>
    <t>Restaurants</t>
  </si>
  <si>
    <t>Alewife travel</t>
  </si>
  <si>
    <t>DL License</t>
  </si>
  <si>
    <t>chipotle</t>
  </si>
  <si>
    <t>wendys ewr</t>
  </si>
  <si>
    <t>RB</t>
  </si>
  <si>
    <t>target</t>
  </si>
  <si>
    <t>trader joes</t>
  </si>
  <si>
    <t>shipping glasses + extra protection</t>
  </si>
  <si>
    <t xml:space="preserve">pad thai cafe </t>
  </si>
  <si>
    <t xml:space="preserve">qiao lin hotpot </t>
  </si>
  <si>
    <t xml:space="preserve">RSB MIT gym </t>
  </si>
  <si>
    <t>flour bakery</t>
  </si>
  <si>
    <t>laundry</t>
  </si>
  <si>
    <t xml:space="preserve">cisco brewers </t>
  </si>
  <si>
    <t>hidden chickpea</t>
  </si>
  <si>
    <t>Paid by Davide</t>
  </si>
  <si>
    <t>Root Beer</t>
  </si>
  <si>
    <t>Nail gel</t>
  </si>
  <si>
    <t>Qiao lin</t>
  </si>
  <si>
    <t>Spirit Flight</t>
  </si>
  <si>
    <t>Target</t>
  </si>
  <si>
    <t>Brother lunch</t>
  </si>
  <si>
    <t>Blue Bottle</t>
  </si>
  <si>
    <t>Depth N Green</t>
  </si>
  <si>
    <t>Starbucks</t>
  </si>
  <si>
    <t>Dominos</t>
  </si>
  <si>
    <t>Uber GC - Costco</t>
  </si>
  <si>
    <t>Scuba Certification</t>
  </si>
  <si>
    <t>Batteries</t>
  </si>
  <si>
    <t>Tall Ship Shot</t>
  </si>
  <si>
    <t>BBQ Chicken</t>
  </si>
  <si>
    <t xml:space="preserve">Lyft to and from </t>
  </si>
  <si>
    <t>Salem Signup</t>
  </si>
  <si>
    <t>Apple Picking</t>
  </si>
  <si>
    <t>Checked Bag - Maldives</t>
  </si>
  <si>
    <t>Lowes</t>
  </si>
  <si>
    <t>COSTCO WHSE #1206</t>
  </si>
  <si>
    <t>FC FOWLER LAUNDRY ULTRA</t>
  </si>
  <si>
    <t>4033 ZAROS BAKERY</t>
  </si>
  <si>
    <t>STARBUCKS STORE 56775</t>
  </si>
  <si>
    <t>UNITED  0164442446922</t>
  </si>
  <si>
    <t>UBER  *TRIP</t>
  </si>
  <si>
    <t>SALEM'S RETREAT LLC</t>
  </si>
  <si>
    <t>MBTA-550005057785-7570</t>
  </si>
  <si>
    <t>WWW COSTCO COM</t>
  </si>
  <si>
    <t>H MART CAMBRIDGE LLC</t>
  </si>
  <si>
    <t>FRONTIER AI ID37MM</t>
  </si>
  <si>
    <t>CHICK-FIL-A #04205</t>
  </si>
  <si>
    <t>TST* TATTE BAKERY</t>
  </si>
  <si>
    <t>USPS CHANGE OF ADDRESS</t>
  </si>
  <si>
    <t>HARVARD MUSEUM OF NATU</t>
  </si>
  <si>
    <t>RAISING CANES 0726</t>
  </si>
  <si>
    <t>SPIRIT AIRL 4870412031362</t>
  </si>
  <si>
    <t>TST* KAJU TOFU HOUSE</t>
  </si>
  <si>
    <t>SP 260ONLINE</t>
  </si>
  <si>
    <t>COSTCO WHSE #0333</t>
  </si>
  <si>
    <t>MTA*NYCT PAYGO</t>
  </si>
  <si>
    <t>SPIRIT AIRL 4870411449615</t>
  </si>
  <si>
    <t>PATH TAPP PAYGO CP</t>
  </si>
  <si>
    <t>SQ *PUEBLO QUERIDO COFFEE</t>
  </si>
  <si>
    <t>T.J. MAXX #1569</t>
  </si>
  <si>
    <t>SPIRIT AIRL 4870411218226</t>
  </si>
  <si>
    <t>TST* BB.Q CHICKEN USA - C</t>
  </si>
  <si>
    <t>SQ *LIV BREADS BAKERY</t>
  </si>
  <si>
    <t>MILLBURN TOWNSHIP</t>
  </si>
  <si>
    <t>CACTUS GRILL</t>
  </si>
  <si>
    <t>MIT RECREATION -ONLINE</t>
  </si>
  <si>
    <t>TST*WAYPOINT</t>
  </si>
  <si>
    <t>MIT PARKING &amp;amp; TRANS</t>
  </si>
  <si>
    <t>AMAZON MKTPL*AM1162X63</t>
  </si>
  <si>
    <t>AMAZON MKTPL*YE9JZ5E63</t>
  </si>
  <si>
    <t>Amazon.com*IO8E11KO3</t>
  </si>
  <si>
    <t>Amazon.com*8I3656JB3</t>
  </si>
  <si>
    <t>Amazon.com*W155A77R3</t>
  </si>
  <si>
    <t>Amazon.com*ZA7FZ1DP3</t>
  </si>
  <si>
    <t>Amazon.com*XR1269FL3</t>
  </si>
  <si>
    <t>Amazon.com*LH48J3YG3</t>
  </si>
  <si>
    <t>AMAZON MKTPL*N96BU1HX3</t>
  </si>
  <si>
    <t>Amazon.com*Z40R17LD3</t>
  </si>
  <si>
    <t>AMAZON MKTPL*349AC6233</t>
  </si>
  <si>
    <t>Whole Foods RVR 10113</t>
  </si>
  <si>
    <t>Amazon.com*5K1C47Z83</t>
  </si>
  <si>
    <t>AMAZON MKTPL*NJ29740O3</t>
  </si>
  <si>
    <t>Spier &amp; Mackay</t>
  </si>
  <si>
    <t>Fleet Feet</t>
  </si>
  <si>
    <t>Eun's Bday Present</t>
  </si>
  <si>
    <t>Celtics Games</t>
  </si>
  <si>
    <t>Entrepreneurship Dinner</t>
  </si>
  <si>
    <t>Ramen</t>
  </si>
  <si>
    <t>Donation</t>
  </si>
  <si>
    <t>Happy belly dinner</t>
  </si>
  <si>
    <t>Clothing</t>
  </si>
  <si>
    <t>Concert Tickets</t>
  </si>
  <si>
    <t>Cava</t>
  </si>
  <si>
    <t>Kbbq</t>
  </si>
  <si>
    <t>Instacart</t>
  </si>
  <si>
    <t>AplPay QATAR AIRWAYSDOHA</t>
  </si>
  <si>
    <t>Grocery Delivery Subscription</t>
  </si>
  <si>
    <t>AplPay 10078 CAVA KECAMBRIDGE  MA</t>
  </si>
  <si>
    <t>AplPay AEROMART ST12JAMAICA  NY</t>
  </si>
  <si>
    <t>AplPay QATAR DUTY FRDOHA</t>
  </si>
  <si>
    <t>CALVINKLEIN.COM  (866)513-0513  NJ</t>
  </si>
  <si>
    <t xml:space="preserve">maldives souveniors </t>
  </si>
  <si>
    <t>five spice</t>
  </si>
  <si>
    <t>acadia trip</t>
  </si>
  <si>
    <t xml:space="preserve">spain flights </t>
  </si>
  <si>
    <t>qiao lin</t>
  </si>
  <si>
    <t xml:space="preserve">bars </t>
  </si>
  <si>
    <t>rei</t>
  </si>
  <si>
    <t>hmart</t>
  </si>
  <si>
    <t>costco glasses</t>
  </si>
  <si>
    <t>basf lunch</t>
  </si>
  <si>
    <t>mcds</t>
  </si>
  <si>
    <t>core team lunch pizza</t>
  </si>
  <si>
    <t>chicken run</t>
  </si>
  <si>
    <t>justins wedding gift</t>
  </si>
  <si>
    <t>SP 260ONLINE  NEW YORK  NY</t>
  </si>
  <si>
    <t>AMAZON MKTPLACE PMTS</t>
  </si>
  <si>
    <t>DUTY FREE SHOP - V.IHULHULE</t>
  </si>
  <si>
    <t>PUBLIX #1552 0000015CARY  NC</t>
  </si>
  <si>
    <t>AplPay JFK5 DD B32 1Ashburn  VA</t>
  </si>
  <si>
    <t>AplPay CHIPOTLE 1615CAMBRIDGE  MA</t>
  </si>
  <si>
    <t>GEOBLUE  855-4816647  PA</t>
  </si>
  <si>
    <t>SLOANGROUP* MITSLOANCAMBRIDGE  MA</t>
  </si>
  <si>
    <t>ONLINE PASSPORT FEESCHARLESTON  SC</t>
  </si>
  <si>
    <t>AplPay STORE  SEABROOK  NH</t>
  </si>
  <si>
    <t>NUMBER 1 PHO L.L.C  CARY  NC</t>
  </si>
  <si>
    <t>H MART CARY LLC 1432CARY  NC</t>
  </si>
  <si>
    <t>AMAZON MKTPL*A88X49CI3</t>
  </si>
  <si>
    <t>AplPay CHICK-FIL-A #WESTBROOK  ME</t>
  </si>
  <si>
    <t>Amazon.com*T38QN4GD3</t>
  </si>
  <si>
    <t>Amazon.com*SD0MW30O3</t>
  </si>
  <si>
    <t>BLANTONS AIR PLUMB EFAYETTEVILLE  NC</t>
  </si>
  <si>
    <t>CHICK-FIL-A  #00678 GARNER  NC</t>
  </si>
  <si>
    <t>GOIN POSTAL - CARY 0CARY  NC</t>
  </si>
  <si>
    <t>AMAZON MKTPL*4L5QB4DV3</t>
  </si>
  <si>
    <t>Rental Property</t>
  </si>
  <si>
    <t>SEPHORA.COM  877-SEPHORA  CA</t>
  </si>
  <si>
    <t>ASALI DESSERTS &amp; CAFCary  NC</t>
  </si>
  <si>
    <t>EXXONMOBIL 9903  CARY  NC</t>
  </si>
  <si>
    <t>AplPay FC FOWLER LAUUNION  NJ</t>
  </si>
  <si>
    <t>AMAZON MKTPL*8B32M1P43</t>
  </si>
  <si>
    <t>AMAZON MARKEPLACE NA PA</t>
  </si>
  <si>
    <t>AMAZON MKTPL*T53X244F3</t>
  </si>
  <si>
    <t>AMZN Mktp US*H96T47F53</t>
  </si>
  <si>
    <t>Dell Bose Speaker</t>
  </si>
  <si>
    <t xml:space="preserve">chickfila </t>
  </si>
  <si>
    <t>Amazon.com*B80BE48Q3</t>
  </si>
  <si>
    <t>Amazon.com*FQ9L52D23</t>
  </si>
  <si>
    <t>AplPay TST* DEPTH 'NCAMBRIDGE  MA</t>
  </si>
  <si>
    <t>AMAZON.COM  AMZN.COM/BILL  WA</t>
  </si>
  <si>
    <t>AplPay 7-ELEVEN 4199CARY  NC</t>
  </si>
  <si>
    <t>RDUAA PUBLIC PARKINGMORRISVILLE  NC</t>
  </si>
  <si>
    <t>AplPay LOWES FOODS #CARY  NC</t>
  </si>
  <si>
    <t>AplPay STORE  CARY  NC</t>
  </si>
  <si>
    <t>Chipotle Gift Cards</t>
  </si>
  <si>
    <t>Saks</t>
  </si>
  <si>
    <t>DERMSTORE USD  844-620-3498  DE</t>
  </si>
  <si>
    <t>SAKSFIFTHAVENUE.COM https://www.saksfiftMD</t>
  </si>
  <si>
    <t>AplPay CHICK-FIL-A #CARY  NC</t>
  </si>
  <si>
    <t>Amazon Tips*Z36IZ15B2</t>
  </si>
  <si>
    <t>Amazon.com</t>
  </si>
  <si>
    <t>Amazon.com*Z38Z89PL2</t>
  </si>
  <si>
    <t>AplPay ALPACA-APEX 6APEX  NC</t>
  </si>
  <si>
    <t>AplPay ASALI DESSERTCary  NC</t>
  </si>
  <si>
    <t>AMAZON MKTPL*Z30568ET1</t>
  </si>
  <si>
    <t>Amazon Grocery Subscri</t>
  </si>
  <si>
    <t>Amazon.com*Z39471DS0</t>
  </si>
  <si>
    <t>colombian lunch</t>
  </si>
  <si>
    <t>AplPay BASF CORPORATRESEARCH TRIA  NC</t>
  </si>
  <si>
    <t>Amazon.com*ZL9J870M2</t>
  </si>
  <si>
    <t>JOE COOL HVAC OF NC RALEIGH  NC</t>
  </si>
  <si>
    <t>LOWES FOODS #1262 00CARY  NC</t>
  </si>
  <si>
    <t>AplPay TST* MERA CORMORRISVILLE  NC</t>
  </si>
  <si>
    <t>Heaters for Tenants</t>
  </si>
  <si>
    <t>Rachel dinner - venmo</t>
  </si>
  <si>
    <t xml:space="preserve">32 degree shirts </t>
  </si>
  <si>
    <t xml:space="preserve">C&amp;T </t>
  </si>
  <si>
    <t xml:space="preserve">water </t>
  </si>
  <si>
    <t xml:space="preserve">pimsleur - 1 year </t>
  </si>
  <si>
    <t xml:space="preserve">PM conference </t>
  </si>
  <si>
    <t xml:space="preserve">michaels - pokemon crafting </t>
  </si>
  <si>
    <t xml:space="preserve">gh bass </t>
  </si>
  <si>
    <t>UK visa - RB</t>
  </si>
  <si>
    <t>UK visa - ML</t>
  </si>
  <si>
    <t>popeyes RDU</t>
  </si>
  <si>
    <t>laundry (lumped)</t>
  </si>
  <si>
    <t>depth and green</t>
  </si>
  <si>
    <t>CAVA</t>
  </si>
  <si>
    <t xml:space="preserve">whole foods </t>
  </si>
  <si>
    <t>aritaum - skincare</t>
  </si>
  <si>
    <t>movie tickets - RB fam</t>
  </si>
  <si>
    <t>starbucks</t>
  </si>
  <si>
    <t xml:space="preserve">tatte </t>
  </si>
  <si>
    <t>mountain house</t>
  </si>
  <si>
    <t>bbq chicken</t>
  </si>
  <si>
    <t>silicon valley tour trip</t>
  </si>
  <si>
    <t>honeycomb creamery</t>
  </si>
  <si>
    <t>biddy earlys</t>
  </si>
  <si>
    <t xml:space="preserve">sissy K's </t>
  </si>
  <si>
    <t>giant reese's</t>
  </si>
  <si>
    <t>warehouse bar and grill</t>
  </si>
  <si>
    <t xml:space="preserve">yume ga arukara </t>
  </si>
  <si>
    <t>ready to fly grab and go</t>
  </si>
  <si>
    <t>LEADER</t>
  </si>
  <si>
    <t>UA.COM*888-727-6687 MD</t>
  </si>
  <si>
    <t>CIE MONT BLANC</t>
  </si>
  <si>
    <t>FLIX</t>
  </si>
  <si>
    <t>AMAZON MKTPL*ZP90O0JJ1</t>
  </si>
  <si>
    <t>BREVENT</t>
  </si>
  <si>
    <t>Intersport France</t>
  </si>
  <si>
    <t>AMAZON MKTPL*Z530Q2E12</t>
  </si>
  <si>
    <t>KORKE</t>
  </si>
  <si>
    <t>Amazon.com*ZP6IX2M70</t>
  </si>
  <si>
    <t>ERACTOLL 365582154</t>
  </si>
  <si>
    <t>POCO LOCO</t>
  </si>
  <si>
    <t>DESAILLOUD SKIS</t>
  </si>
  <si>
    <t>Ye Ye</t>
  </si>
  <si>
    <t>Jack the Chipper Whitecha</t>
  </si>
  <si>
    <t>Swisstours Transport</t>
  </si>
  <si>
    <t>GERMAN DONER KEBAB</t>
  </si>
  <si>
    <t>Amazon.com*ZG1KJ6F50</t>
  </si>
  <si>
    <t>DOMINO S PIZZA</t>
  </si>
  <si>
    <t>AMAZON MKTPL*ZG19J33B0</t>
  </si>
  <si>
    <t>MAISON NORDIQUE 2329397</t>
  </si>
  <si>
    <t>TFL TRAVEL CH</t>
  </si>
  <si>
    <t>RESTAURANT DE L</t>
  </si>
  <si>
    <t>SA PAYOT PERTIN</t>
  </si>
  <si>
    <t>Amazon.com*ZP3RS9X40</t>
  </si>
  <si>
    <t>JETBLUE  2792172259173</t>
  </si>
  <si>
    <t>MC DONALD'S</t>
  </si>
  <si>
    <t>ONSKIOO</t>
  </si>
  <si>
    <t>FOREIGN TRANSACTION FEE</t>
  </si>
  <si>
    <t>BESTBUYCOM807011659153</t>
  </si>
  <si>
    <t>AplPay MBTA-55001136BOSTON  MA</t>
  </si>
  <si>
    <t>AplPay INTERSPORT BYCHAMONIX MONT BLANC HT</t>
  </si>
  <si>
    <t>SP DBRAND  TORONTO</t>
  </si>
  <si>
    <t>LA TRACE  CHAMONIX MONT BLANC HT</t>
  </si>
  <si>
    <t>LA FLEGERE  ARGENTIERE  HT</t>
  </si>
  <si>
    <t>AplPay AMZ*UXBEWTK3REAST RUTHERFORD  NJ</t>
  </si>
  <si>
    <t>AplPay TFL TRAVEL CHTFL.GOV.UK/CP  GB</t>
  </si>
  <si>
    <t>caafe tartine</t>
  </si>
  <si>
    <t>Souveniers</t>
  </si>
  <si>
    <t>hulu</t>
  </si>
  <si>
    <t>AplPay ORDER BAGELS,Raleigh  NC</t>
  </si>
  <si>
    <t>AplPay SP ANOVA CULISAN FRANCISCO  CA</t>
  </si>
  <si>
    <t>cham thai</t>
  </si>
  <si>
    <t>AplPay HMSHOST SCHIPSCHIPHOL  NL</t>
  </si>
  <si>
    <t>PHARMACIE DU MONT BLCHAMONIX MONT BLANC HT</t>
  </si>
  <si>
    <t>AplPay ADF ARRIV ES GENÈVE 15 AÉROPORT  CH</t>
  </si>
  <si>
    <t>SILK ROAD UZBEK CUISCARY  NC</t>
  </si>
  <si>
    <t>HARRIS TEETER  CARY  NC</t>
  </si>
  <si>
    <t>AplPay AUTOGRILL SCHGENÈVE 15 AÉROPORT  CH</t>
  </si>
  <si>
    <t>SZECHUAN MANSION HOTCARY  NC</t>
  </si>
  <si>
    <t>REVOLUT*POWER BRANDSLONDON  GB</t>
  </si>
  <si>
    <t>Ski Pass</t>
  </si>
  <si>
    <t>SHEETZ 2642  026427MORRISVILLE  NC</t>
  </si>
  <si>
    <t>SEOUL GARDEN CARY 43CARY  NC</t>
  </si>
  <si>
    <t>ESF CHAMONIX  CHAMONIX  HT</t>
  </si>
  <si>
    <t>chamonix venmos</t>
  </si>
  <si>
    <t>AplPay QC TERME CHAMCHAMONIX-MONT-BLANC FR</t>
  </si>
  <si>
    <t>SP ZBIOTICS  SAN FRANCISCO  CA</t>
  </si>
  <si>
    <t>BREEZE AIRWAU7F59J</t>
  </si>
  <si>
    <t>JONGRO BBQ</t>
  </si>
  <si>
    <t>DERMSTORE DERMSTORE UNITED STATES</t>
  </si>
  <si>
    <t>HIGHSNOBIETY</t>
  </si>
  <si>
    <t>2/8/0256</t>
  </si>
  <si>
    <t>OKJA 436845560044108CARY  NC</t>
  </si>
  <si>
    <t>SUNDAY*Dishoom Shoreditch</t>
  </si>
  <si>
    <t>UBR* PENDING.UBER.COM</t>
  </si>
  <si>
    <t>7-ELEVEN 41993 00074CARY  NC</t>
  </si>
  <si>
    <t xml:space="preserve">justin baby gift </t>
  </si>
  <si>
    <t>Amazon.com*ZC5R26261</t>
  </si>
  <si>
    <t>DUKE OTOLARYNGOLOGY RALEIGH  NC</t>
  </si>
  <si>
    <t>Amazon.com*TX4YB0Z63</t>
  </si>
  <si>
    <t>The Paper Store</t>
  </si>
  <si>
    <t>bos</t>
  </si>
  <si>
    <t>AplPay BRIDGE BAR &amp; HOUNSLOW  GB</t>
  </si>
  <si>
    <t>AMAZON MKTPL*3N64O1VX3</t>
  </si>
  <si>
    <t>MULAN TAIWANESE RESTAURAN</t>
  </si>
  <si>
    <t>POPHAMS HACKNEY  London  GB</t>
  </si>
  <si>
    <t>SUMUP*FORWARD &amp; UP LLONDON</t>
  </si>
  <si>
    <t>AplPay BOOTS  HOUNSLOW  GB</t>
  </si>
  <si>
    <t>INSPITALFIELDS LTD  LONDON  GB</t>
  </si>
  <si>
    <t>JETBLUE  2792175322602</t>
  </si>
  <si>
    <t>DUNKIN #334756 3347 BOSTON  MA</t>
  </si>
  <si>
    <t>ZETTLE *AMALA CHAI  COLINDALE  GB</t>
  </si>
  <si>
    <t>MERCHANT AND WEAVER London  GB</t>
  </si>
  <si>
    <t>Amazon.com*MC6H30VH3</t>
  </si>
  <si>
    <t>MBTA-550009347976-0515</t>
  </si>
  <si>
    <t>DROPBOX FAX ONE TIME</t>
  </si>
  <si>
    <t>BOJANGLES 17</t>
  </si>
  <si>
    <t>TST*EL HUARACHE</t>
  </si>
  <si>
    <t>SPIRIT AIRL 4870425599704</t>
  </si>
  <si>
    <t>MCDONALD'S F34433</t>
  </si>
  <si>
    <t>SPIRIT AIRL 4870425728071</t>
  </si>
  <si>
    <t>TST*M SUSHI - CARY</t>
  </si>
  <si>
    <t>NUMBER 1 PHO L.L.C</t>
  </si>
  <si>
    <t>Amazon.com*SQ9MO5OR3</t>
  </si>
  <si>
    <t>Amazon.com*DL7JP10K3</t>
  </si>
  <si>
    <t>AMAZON MKTPL*JC80W9T43</t>
  </si>
  <si>
    <t>AMAZON MKTPL*U814G26B3</t>
  </si>
  <si>
    <t>SUPREME LIQUORS CAMBRIDG</t>
  </si>
  <si>
    <t>AMAZON MKTPL*V62EI9PM3</t>
  </si>
  <si>
    <t>TRIANGLE FAMILY EYE CARE</t>
  </si>
  <si>
    <t>SQ *KILLER POBOYS</t>
  </si>
  <si>
    <t>WALGREENS #4305</t>
  </si>
  <si>
    <t>TCKTWEB*BRADWALKERBRIA</t>
  </si>
  <si>
    <t>PAT O BRIENS PATIO/HUR</t>
  </si>
  <si>
    <t>ZESTY CREOLE</t>
  </si>
  <si>
    <t>DINGTEA DOWNTOWN</t>
  </si>
  <si>
    <t>ARNAUDS</t>
  </si>
  <si>
    <t>McDonalds 31491</t>
  </si>
  <si>
    <t>MSY TRIP ADVISOR SHOP</t>
  </si>
  <si>
    <t>UNITED 0162466123605</t>
  </si>
  <si>
    <t>OMIO *OMIO</t>
  </si>
  <si>
    <t>UNITED 0162437250971</t>
  </si>
  <si>
    <t>Amazon.com*PX1CT51T3</t>
  </si>
  <si>
    <t>UNITED 0162466827147</t>
  </si>
  <si>
    <t>Uniqlo USA LLC UNIQLO_US-</t>
  </si>
  <si>
    <t>Amazon.com*XT3QT4NS3</t>
  </si>
  <si>
    <t>TARGET 00024794</t>
  </si>
  <si>
    <t>SQ *GUISADOS BEVERLY HILL</t>
  </si>
  <si>
    <t>UNITED 0164480502965</t>
  </si>
  <si>
    <t>WAYMO</t>
  </si>
  <si>
    <t>GRIFFITH PAY PARKING</t>
  </si>
  <si>
    <t>TST*SWEET LILLYS</t>
  </si>
  <si>
    <t>AVIS RENT-A-CAR</t>
  </si>
  <si>
    <t>YE LOY INC</t>
  </si>
  <si>
    <t>SUNNYVALE SAIGON</t>
  </si>
  <si>
    <t>CITY OF SANTA MONICA</t>
  </si>
  <si>
    <t>MUSEO DEL PRADO</t>
  </si>
  <si>
    <t>FIVE GUYS NC 1797 QSR</t>
  </si>
  <si>
    <t>TST* POKE HOUSE - PALO AL</t>
  </si>
  <si>
    <t>LYFT *1 RIDE 03-17</t>
  </si>
  <si>
    <t>CLIPPER SYSTEMS MOBILE #1</t>
  </si>
  <si>
    <t>LA ROCCAS CORNER</t>
  </si>
  <si>
    <t>SQ *CAFE OKAWARI</t>
  </si>
  <si>
    <t>TST*SPICY KING</t>
  </si>
  <si>
    <t>SQ *JINA BAKES</t>
  </si>
  <si>
    <t>SFO Mills Cargo</t>
  </si>
  <si>
    <t>LYFT *2 RIDES 03-19</t>
  </si>
  <si>
    <t>OISO SUSHI &amp;amp; KOREAN</t>
  </si>
  <si>
    <t>LAS TORTILLAS DE GABINO</t>
  </si>
  <si>
    <t>AIRALO</t>
  </si>
  <si>
    <t>ROLLERIE</t>
  </si>
  <si>
    <t>EXPHORTALV</t>
  </si>
  <si>
    <t>SHAKE SHACK C25 BOS</t>
  </si>
  <si>
    <t>EL BAROGRAFO</t>
  </si>
  <si>
    <t>RENFE CERCANIAS TNA 28 5</t>
  </si>
  <si>
    <t>METRO DE MADRID S.A.</t>
  </si>
  <si>
    <t>EXPCMONTE9</t>
  </si>
  <si>
    <t>EL BOTERO</t>
  </si>
  <si>
    <t>VIANDAS DE SALAMANCA</t>
  </si>
  <si>
    <t>ARZOBISPADO DE TOLEDO</t>
  </si>
  <si>
    <t>RESTAURANTE JOSE MARIA</t>
  </si>
  <si>
    <t>RESTAURANTE PUERTO RICO</t>
  </si>
  <si>
    <t>MC DONALDS MONTERA</t>
  </si>
  <si>
    <t>RENFE CERCANIAS TNA 28 1</t>
  </si>
  <si>
    <t>RESTAURANTE UGO CHAN</t>
  </si>
  <si>
    <t>RESTAURANTE JUANA LA LOCA</t>
  </si>
  <si>
    <t>OMIO</t>
  </si>
  <si>
    <t>CAFE EL PRADO</t>
  </si>
  <si>
    <t>ES 017 CASA LOEWE Madrid</t>
  </si>
  <si>
    <t>SUPERSERVIS SA</t>
  </si>
  <si>
    <t>KOY SHUNKA</t>
  </si>
  <si>
    <t>METRO BARCELONA</t>
  </si>
  <si>
    <t>PARKING PIZZA MARIMON</t>
  </si>
  <si>
    <t>JOBROCO SL</t>
  </si>
  <si>
    <t>LAIETANA DE LLIBRETERIA</t>
  </si>
  <si>
    <t>ARROSSERIA XATIVA BCN 194</t>
  </si>
  <si>
    <t>EXPRESS MARINA 2</t>
  </si>
  <si>
    <t>MCDONALDS AEROPUERTO PRAT</t>
  </si>
  <si>
    <t>EL CORTE INGLES DIAGONAL</t>
  </si>
  <si>
    <t>SORLI TRAVESSERA DE DALT</t>
  </si>
  <si>
    <t>SUP. EX. GRAN D</t>
  </si>
  <si>
    <t>EL CORTE INGLES PLAZA DE</t>
  </si>
  <si>
    <t>TB0805 SAGRADAFAMILIA C</t>
  </si>
  <si>
    <t>VIATOR *IT-1625888253</t>
  </si>
  <si>
    <t>LYFT *1 RIDE 03-29</t>
  </si>
  <si>
    <t>DOMINO'S 3748</t>
  </si>
  <si>
    <t>Amazon.com*Z48OB1BS1</t>
  </si>
  <si>
    <t>PAYPAL *ALCAZARDESG 4029357733 ES</t>
  </si>
  <si>
    <t>PAYPAL *MAX 8559426669 NY</t>
  </si>
  <si>
    <t>PAYPAL *PARAMNTPLUS 8882745343 CA</t>
  </si>
  <si>
    <t>DUKE HEALTH MYCHART DURHAM NC</t>
  </si>
  <si>
    <t>Refund Globalblue.com</t>
  </si>
  <si>
    <t>Offer:Domino's</t>
  </si>
  <si>
    <t>TST*TASTY BURGER - HARVA</t>
  </si>
  <si>
    <t>Amazon.com*V190J21X3</t>
  </si>
  <si>
    <t>INTUIT *TURBOTAX</t>
  </si>
  <si>
    <t>AMAZON MKTPL*D82J11NU3</t>
  </si>
  <si>
    <t>Amazon.com*Q96ME1VZ3</t>
  </si>
  <si>
    <t>CRYSTAL TAILOR AND CLEAN</t>
  </si>
  <si>
    <t>CJ_OLIVE YOUNG</t>
  </si>
  <si>
    <t>Nyx*Koury Vending LLC</t>
  </si>
  <si>
    <t>GOOGLE *Google One</t>
  </si>
  <si>
    <t>BASF CORPORATION CAFE</t>
  </si>
  <si>
    <t>US TREAS TAX PYMT</t>
  </si>
  <si>
    <t>SERVICE FEE</t>
  </si>
  <si>
    <t>Amazon.com*899136KJ3</t>
  </si>
  <si>
    <t>SLOANGROUP* MITSLOAN/K</t>
  </si>
  <si>
    <t>SLOANGROUP* MITSLOAN/S</t>
  </si>
  <si>
    <t>PARKING METERS PILOT PROG</t>
  </si>
  <si>
    <t>4UP*BROOKLINE GOLF</t>
  </si>
  <si>
    <t>TST*SUMIAO XIANG RESTAUR</t>
  </si>
  <si>
    <t>TST*MY HAPPY HUNAN KITCH</t>
  </si>
  <si>
    <t>AIRBNB * HM5P34QRAK</t>
  </si>
  <si>
    <t>SPOTHERO 844-356-8054</t>
  </si>
  <si>
    <t>EXXON BULL MARKET 108</t>
  </si>
  <si>
    <t>PIRATE SHIP * POSTAGE</t>
  </si>
  <si>
    <t>MCDONALD'S F17721</t>
  </si>
  <si>
    <t>AMAZON MKTPL*F95HE5DM3</t>
  </si>
  <si>
    <t>Amazon.com*WM4845Z63</t>
  </si>
  <si>
    <t>IC* COSTCO BY INSTACAR</t>
  </si>
  <si>
    <t>BASF CAFE</t>
  </si>
  <si>
    <t>Amazon.com*RC81S0J23</t>
  </si>
  <si>
    <t>City of Cambridge</t>
  </si>
  <si>
    <t>LS THE COUNTRY STORE</t>
  </si>
  <si>
    <t>TARGET.COM *</t>
  </si>
  <si>
    <t>EXXON MEMORIAL DRIVE A</t>
  </si>
  <si>
    <t>UBER *ONE</t>
  </si>
  <si>
    <t>McDonalds 1147</t>
  </si>
  <si>
    <t>TST*SZECHUAN MOUNTAIN HO</t>
  </si>
  <si>
    <t>HEYTEA ALLSTON</t>
  </si>
  <si>
    <t>TST* FLOUR BAKERY + CAFE</t>
  </si>
  <si>
    <t>HYATT REGENCY CAMBRIDGE</t>
  </si>
  <si>
    <t>RAISING CANES 0676</t>
  </si>
  <si>
    <t>TST*FULLSTEAM BREWERY AT</t>
  </si>
  <si>
    <t>BROOKLINE GOLF CLUB</t>
  </si>
  <si>
    <t>TST*TEN ONE TEAHOUSE NEW</t>
  </si>
  <si>
    <t>TST*KOREAN GARDEN RESTAU</t>
  </si>
  <si>
    <t>BB* BB.Q CHICKEN KENMO</t>
  </si>
  <si>
    <t>Amazon.com*NB0ZL3012</t>
  </si>
  <si>
    <t>SASSOOL - CARY</t>
  </si>
  <si>
    <t>ETOLLAVIS U350737155</t>
  </si>
  <si>
    <t>Amazon Tips*QH6GH9VF3</t>
  </si>
  <si>
    <t>RAG AND BONE HOLDINGNEW YORK NY</t>
  </si>
  <si>
    <t>CONTACTSDIRECT.COM MASON</t>
  </si>
  <si>
    <t>CONTACTSDIRECT.COM MASON OH</t>
  </si>
  <si>
    <t>CR ADJ FOR FINANCE CHARGE</t>
  </si>
  <si>
    <t>Interest Charge on Pay Over Time Purchases</t>
  </si>
  <si>
    <t>AMAZON MKTPL*NB7IC47F2</t>
  </si>
  <si>
    <t>TST*SUGAR &amp;amp; SPICE - CAMB</t>
  </si>
  <si>
    <t>EZCATER*LOTUS EXPRESS</t>
  </si>
  <si>
    <t>SNACK* BANH MI HUONG Q</t>
  </si>
  <si>
    <t>MBTA-550016700415-9937</t>
  </si>
  <si>
    <t>LOWE'S FOODS #1262</t>
  </si>
  <si>
    <t>AMAZON MKTPL*NB49S2LN1</t>
  </si>
  <si>
    <t>SCRIBANOS ITALIAN DELI</t>
  </si>
  <si>
    <t>TST*DOHERTYS IRISH PUB -</t>
  </si>
  <si>
    <t>H MART CARY LLC</t>
  </si>
  <si>
    <t>Amazon.com*NB55V80F0</t>
  </si>
  <si>
    <t>Forest Lagoon</t>
  </si>
  <si>
    <t>AVELO AIRLINPUJRDU</t>
  </si>
  <si>
    <t>NEW WINGS KITCHEN</t>
  </si>
  <si>
    <t xml:space="preserve">DR airbnb + etc </t>
  </si>
  <si>
    <t>Vok baths Main CP</t>
  </si>
  <si>
    <t>Sannir Landvaettir</t>
  </si>
  <si>
    <t>ROCK SPOT BROOKLINE</t>
  </si>
  <si>
    <t>Parka</t>
  </si>
  <si>
    <t>Blue Lagoon SPA</t>
  </si>
  <si>
    <t>BUSKERS IRISH PUB</t>
  </si>
  <si>
    <t>LAZ PARKING L05192-CALE</t>
  </si>
  <si>
    <t>CHINA STAR</t>
  </si>
  <si>
    <t>Amazon.com*NW9986N92</t>
  </si>
  <si>
    <t>Blue Lagoon Keflavik Air</t>
  </si>
  <si>
    <t>Lyf heilsa Granda</t>
  </si>
  <si>
    <t>Icelandic Lava Show</t>
  </si>
  <si>
    <t>DOMINO'S 3951</t>
  </si>
  <si>
    <t>SQ *KANG NAM TOWN</t>
  </si>
  <si>
    <t>CVS/PHARMACY #11242</t>
  </si>
  <si>
    <t>UBER *EATS</t>
  </si>
  <si>
    <t>IC* INSTACART</t>
  </si>
  <si>
    <t>www.REI.com KENT WA</t>
  </si>
  <si>
    <t>eating out</t>
  </si>
  <si>
    <t>WENDY S PUNTA CANA</t>
  </si>
  <si>
    <t>TST*YIN DEE</t>
  </si>
  <si>
    <t>DOMINO'S 8849</t>
  </si>
  <si>
    <t>NCDMV REG 179 DURHAM</t>
  </si>
  <si>
    <t>NCDMV DRIVER GREENSBO2</t>
  </si>
  <si>
    <t xml:space="preserve">flight to sohum wedding </t>
  </si>
  <si>
    <t>AMAZON MKTPL*NZ85X0I92</t>
  </si>
  <si>
    <t>SP BABYLIST</t>
  </si>
  <si>
    <t>GOLF CLUB</t>
  </si>
  <si>
    <t>TST* CRAWFORD'S GENUINE</t>
  </si>
  <si>
    <t>McDonalds 32336</t>
  </si>
  <si>
    <t>PRIVATEINTERNETACCESS</t>
  </si>
  <si>
    <t>LA ARBORETUM</t>
  </si>
  <si>
    <t>Amazon.com*NN7D72TR0</t>
  </si>
  <si>
    <t>Amazon.com*NZ1V32A81</t>
  </si>
  <si>
    <t>Whole Foods ALT 10611</t>
  </si>
  <si>
    <t>AMAZON MKTPL*NN2EF72G2</t>
  </si>
  <si>
    <t>Amazon.com*NN75Y6ZT1</t>
  </si>
  <si>
    <t>SMARTRIP WASHINGTON DC</t>
  </si>
  <si>
    <t>sharon bach dinner</t>
  </si>
  <si>
    <t>sharon bach - total</t>
  </si>
  <si>
    <t>Amazon.com*NN4779K70</t>
  </si>
  <si>
    <t>AIRBNB * TAFR8HYY</t>
  </si>
  <si>
    <t>HUDSON ST1806</t>
  </si>
  <si>
    <t>Wagamama USA LLC</t>
  </si>
  <si>
    <t>COSTCO WHSE #0334</t>
  </si>
  <si>
    <t>ONELIFE FITNESS BALLSTON</t>
  </si>
  <si>
    <t>TST* LAX - T7 - RANDY'S D</t>
  </si>
  <si>
    <t>TARGET 00032573</t>
  </si>
  <si>
    <t>APPLE STORE #R036</t>
  </si>
  <si>
    <t>WEGMANS TYSONS CRNR #115</t>
  </si>
  <si>
    <t>TST*FOUNDING FARMERS - D</t>
  </si>
  <si>
    <t>TST*OKI SHOTEN</t>
  </si>
  <si>
    <t>PY *LE LABO AT GEORGETOWN</t>
  </si>
  <si>
    <t>AMK CAPITAL ONE C3</t>
  </si>
  <si>
    <t>LYFT *RIDE MON 5PM</t>
  </si>
  <si>
    <t>AMKCAPITAL ONE C2</t>
  </si>
  <si>
    <t>AMAZON MKTPL*NO8B73FB1</t>
  </si>
  <si>
    <t>TST* THE BALLROOM</t>
  </si>
  <si>
    <t>SQ *ANDY'S PIZZA BALLSTON</t>
  </si>
  <si>
    <t>UBER *ONE MEMBERSHIP</t>
  </si>
  <si>
    <t>UNIVERSAL NORTH AMERICA</t>
  </si>
  <si>
    <t>Rental - home insurance</t>
  </si>
  <si>
    <t>movie tickets</t>
  </si>
  <si>
    <t>AMK CAPITAL ONE C1</t>
  </si>
  <si>
    <t>COSTCO WHSE #0233</t>
  </si>
  <si>
    <t>eden center lunch</t>
  </si>
  <si>
    <t>gyukaku</t>
  </si>
  <si>
    <t>groceries - howard</t>
  </si>
  <si>
    <t>shoes</t>
  </si>
  <si>
    <t>R&amp;B jeans</t>
  </si>
  <si>
    <t>rachel's clothes + shoes</t>
  </si>
  <si>
    <t>sharons wedding</t>
  </si>
  <si>
    <t>toothpaste</t>
  </si>
  <si>
    <t>car check + oil change</t>
  </si>
  <si>
    <t>clarks shoes</t>
  </si>
  <si>
    <t xml:space="preserve">lots of transactions consolidated </t>
  </si>
  <si>
    <t>Amazon.com*NN98V4YW1</t>
  </si>
  <si>
    <t>Amazon.com*N615P6490</t>
  </si>
  <si>
    <t>AMAZON MKTPL*N69IH2FP0</t>
  </si>
  <si>
    <t>AMAZON MKTPL*N65IH1F00</t>
  </si>
  <si>
    <t>AMAZON MKTPL*N62I343J0</t>
  </si>
  <si>
    <t>AMAZON MKTPL*N60OY0YX1</t>
  </si>
  <si>
    <t>Amazon.com*NH4VN2Z90</t>
  </si>
  <si>
    <t>Whole Foods ARL 10042</t>
  </si>
  <si>
    <t>Amazon.com*NQ8FJ2Z92</t>
  </si>
  <si>
    <t>Amazon.com*NO0KS4SX1</t>
  </si>
  <si>
    <t>AMAZON MKTPL*NO6PJ1YS1</t>
  </si>
  <si>
    <t>Amazon.com*NQ8E71BT0</t>
  </si>
  <si>
    <t>Amazon.com*NQ2CW6741</t>
  </si>
  <si>
    <t>Amazon.com*NQ75B2850</t>
  </si>
  <si>
    <t xml:space="preserve">massage tip </t>
  </si>
  <si>
    <t>WEEE INC.</t>
  </si>
  <si>
    <t>BALLSTON FITNESS BALLSTO</t>
  </si>
  <si>
    <t>CVS/PHARMACY #01833</t>
  </si>
  <si>
    <t>TST*HOT LOLAS</t>
  </si>
  <si>
    <t>CVS/PHARMACY #01341</t>
  </si>
  <si>
    <t>Amazon.com*N33GD3B21</t>
  </si>
  <si>
    <t>SI NAT AIR &amp;amp; SPACE MUSEU</t>
  </si>
  <si>
    <t>SP HOBBII</t>
  </si>
  <si>
    <t>LAROCHEPOSAY</t>
  </si>
  <si>
    <t>SP SULWHASOO</t>
  </si>
  <si>
    <t>QUEEN NAILS &amp;amp; SPA CARY</t>
  </si>
  <si>
    <t>RESTAURANTE QUIN* TOCK</t>
  </si>
  <si>
    <t>CVS/PHARMACY #01842</t>
  </si>
  <si>
    <t>WILD DAYS / ALLEGORY</t>
  </si>
  <si>
    <t>TST*BALLSTON - GOOD COMP</t>
  </si>
  <si>
    <t>venmo - kevin</t>
  </si>
  <si>
    <t>rachel clothes</t>
  </si>
  <si>
    <t>eden center</t>
  </si>
  <si>
    <t xml:space="preserve">consolidated transactions </t>
  </si>
  <si>
    <t>Whole Foods PST 10135</t>
  </si>
  <si>
    <t>Amazon.com*NL9A01TI0</t>
  </si>
  <si>
    <t>AMZ*Woot LLC</t>
  </si>
  <si>
    <t>AMAZON MKTPL*NR5BT1FE0</t>
  </si>
  <si>
    <t>Amazon.com*RN6SV9XR3</t>
  </si>
  <si>
    <t>Amazon.com*NR20943N1</t>
  </si>
  <si>
    <t>AMAZON MKTPL*NR10G9X30</t>
  </si>
  <si>
    <t>travel</t>
  </si>
  <si>
    <t>jetblue plane</t>
  </si>
  <si>
    <t>martin haircut</t>
  </si>
  <si>
    <t>Total Annual Income</t>
  </si>
  <si>
    <t>Overview</t>
  </si>
  <si>
    <t>Monthly Take home</t>
  </si>
  <si>
    <t>Monthly Budget</t>
  </si>
  <si>
    <t>Monthly Savings</t>
  </si>
  <si>
    <t>ESPP Returns</t>
  </si>
  <si>
    <t>Saved</t>
  </si>
  <si>
    <t>Estimated Annual Savings</t>
  </si>
  <si>
    <t>From Ma</t>
  </si>
  <si>
    <t>Projected Annual Savings</t>
  </si>
  <si>
    <t>Actual Savings YTD</t>
  </si>
  <si>
    <t>Travel Bank</t>
  </si>
  <si>
    <t>Untouchable Savings</t>
  </si>
  <si>
    <t>ESPP Payout</t>
  </si>
  <si>
    <t>Martin 401k</t>
  </si>
  <si>
    <t>Rachel 401k</t>
  </si>
  <si>
    <t>Martin After Tax</t>
  </si>
  <si>
    <t>Rachel After Tax</t>
  </si>
  <si>
    <t>Included in Travel Bank</t>
  </si>
  <si>
    <t>Not included in Travel Bank</t>
  </si>
  <si>
    <t>Airfare</t>
  </si>
  <si>
    <t>Concerts</t>
  </si>
  <si>
    <t>Hotels</t>
  </si>
  <si>
    <t>Museum Admission</t>
  </si>
  <si>
    <t>Big Tickets</t>
  </si>
  <si>
    <t>Food</t>
  </si>
  <si>
    <t>Car Rental</t>
  </si>
  <si>
    <t>Local Transit (Bus, Metro, Uber)</t>
  </si>
  <si>
    <t>1/2 transit to airport</t>
  </si>
  <si>
    <t>1/2 transit to airpot</t>
  </si>
  <si>
    <t>Pre - Roth 401k</t>
  </si>
  <si>
    <t>After - Roth 401k</t>
  </si>
  <si>
    <t>Earnings</t>
  </si>
  <si>
    <t>Pre-Tax Deductions</t>
  </si>
  <si>
    <t>Pre-tax Deductions</t>
  </si>
  <si>
    <t>HSA</t>
  </si>
  <si>
    <t>Dental</t>
  </si>
  <si>
    <t>HDHP</t>
  </si>
  <si>
    <t>401k</t>
  </si>
  <si>
    <t>W/H</t>
  </si>
  <si>
    <t>FICA EE</t>
  </si>
  <si>
    <t>MWT EE</t>
  </si>
  <si>
    <t>Post Tax Deductions</t>
  </si>
  <si>
    <t>ESPP</t>
  </si>
  <si>
    <t>After Tax</t>
  </si>
  <si>
    <t>Net Income</t>
  </si>
  <si>
    <t>Net Income /month</t>
  </si>
  <si>
    <t>from paystub (end sept)</t>
  </si>
  <si>
    <t>Item</t>
  </si>
  <si>
    <t>Tracker</t>
  </si>
  <si>
    <t>AF Biz Plat</t>
  </si>
  <si>
    <t>Rent - Eric</t>
  </si>
  <si>
    <t>Apartment Fee</t>
  </si>
  <si>
    <t>Rent - Houston</t>
  </si>
  <si>
    <t>US Bank</t>
  </si>
  <si>
    <t>Phone Fee</t>
  </si>
  <si>
    <t>United Airlines</t>
  </si>
  <si>
    <t>Referral Tax</t>
  </si>
  <si>
    <t>United Airliesn</t>
  </si>
  <si>
    <t>Sign up Bonus</t>
  </si>
  <si>
    <t>Net</t>
  </si>
  <si>
    <t>Apartment Fees</t>
  </si>
  <si>
    <t>Monday</t>
  </si>
  <si>
    <t>Week 1</t>
  </si>
  <si>
    <t>Tuesday</t>
  </si>
  <si>
    <t>Week 2</t>
  </si>
  <si>
    <t>Wednesday</t>
  </si>
  <si>
    <t>Week 3</t>
  </si>
  <si>
    <t>Thursday</t>
  </si>
  <si>
    <t>Week 4</t>
  </si>
  <si>
    <t>Friday</t>
  </si>
  <si>
    <t>Saturday</t>
  </si>
  <si>
    <t>Sunday</t>
  </si>
  <si>
    <t>Current Savings</t>
  </si>
  <si>
    <t>Goal</t>
  </si>
  <si>
    <t>Weekly</t>
  </si>
  <si>
    <t>Bi-Weekly</t>
  </si>
  <si>
    <t xml:space="preserve">Credit Card </t>
  </si>
  <si>
    <t>I dont have a credit card payment</t>
  </si>
  <si>
    <t>Card 1</t>
  </si>
  <si>
    <t>Card 2</t>
  </si>
  <si>
    <t>Card 3</t>
  </si>
  <si>
    <t xml:space="preserve">Balance Owed: </t>
  </si>
  <si>
    <t xml:space="preserve">Interest rate: </t>
  </si>
  <si>
    <t>Minimum Monthly Payment:</t>
  </si>
  <si>
    <t>Months to Pay off with Minimum Payment:</t>
  </si>
  <si>
    <t>Total Interest Accrued Using Minimum Payment</t>
  </si>
  <si>
    <t>Are you paying more than the minimum payment?</t>
  </si>
  <si>
    <t>Your payments will be added and adjusted in your budget automatically! Once youve filled this out, please go check your budget!</t>
  </si>
  <si>
    <t>Large Purchase Calculator</t>
  </si>
  <si>
    <t xml:space="preserve">Item: </t>
  </si>
  <si>
    <t>Cool Thing</t>
  </si>
  <si>
    <t>Price</t>
  </si>
  <si>
    <t>Months until purchase</t>
  </si>
  <si>
    <t>Date started Saving:</t>
  </si>
  <si>
    <t xml:space="preserve">Monthly Saving amount: </t>
  </si>
  <si>
    <t xml:space="preserve">Adjust Budget? </t>
  </si>
  <si>
    <t>Rachel Income</t>
  </si>
  <si>
    <t>Martin Income</t>
  </si>
  <si>
    <t>Gross</t>
  </si>
  <si>
    <t>401k Contributions</t>
  </si>
  <si>
    <t>Monthly Paycheck</t>
  </si>
  <si>
    <t>HSA Contribution</t>
  </si>
  <si>
    <t>Owed Amount</t>
  </si>
  <si>
    <t>Actual Paying</t>
  </si>
  <si>
    <t>Tax</t>
  </si>
  <si>
    <t>Tax Difference</t>
  </si>
  <si>
    <t>After Tax 401k</t>
  </si>
  <si>
    <t>After Tax 401k Excess</t>
  </si>
  <si>
    <t>Money Remaining</t>
  </si>
  <si>
    <t>Monthly Income</t>
  </si>
  <si>
    <t>Biweekly Paycheck</t>
  </si>
  <si>
    <t>Actual Take Home</t>
  </si>
  <si>
    <t>Monthly Money In</t>
  </si>
  <si>
    <t>money left :(</t>
  </si>
  <si>
    <t>Emergency Fund Target Amount</t>
  </si>
  <si>
    <t>Martin Rachel Travel Fund</t>
  </si>
  <si>
    <t>Household</t>
  </si>
  <si>
    <t>House Downpayment</t>
  </si>
  <si>
    <t>House Cost</t>
  </si>
  <si>
    <t>Downpayment</t>
  </si>
  <si>
    <t>Existing Savings</t>
  </si>
  <si>
    <t>Expenses</t>
  </si>
  <si>
    <t>Flex Spending</t>
  </si>
  <si>
    <t>Daily Spending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</si>
</sst>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$]#,##0.00"/>
    <numFmt numFmtId="165" formatCode="&quot;$&quot;#,##0.00"/>
    <numFmt numFmtId="166" formatCode="yyyy-mm-dd"/>
    <numFmt numFmtId="167" formatCode="M/d/yyyy"/>
    <numFmt numFmtId="168" formatCode="m/d/yy"/>
    <numFmt numFmtId="169" formatCode="mmmm yyyy"/>
    <numFmt numFmtId="170" formatCode="mmm yyyy"/>
    <numFmt numFmtId="171" formatCode="&quot;$&quot;#,##0"/>
    <numFmt numFmtId="172" formatCode="m/d"/>
    <numFmt numFmtId="173" formatCode="m/d/yyyy"/>
    <numFmt numFmtId="174" formatCode="mm/dd/yyyy"/>
    <numFmt numFmtId="175" formatCode="_(&quot;$&quot;* #,##0.00_);_(&quot;$&quot;* \(#,##0.00\);_(&quot;$&quot;* &quot;-&quot;??_);_(@_)"/>
  </numFmts>
  <fonts count="43">
    <font>
      <sz val="10.0"/>
      <color rgb="FF000000"/>
      <name val="Arial"/>
    </font>
    <font>
      <sz val="18.0"/>
      <color rgb="FFFFFFFF"/>
      <name val="Alegreya"/>
    </font>
    <font/>
    <font>
      <sz val="10.0"/>
      <name val="Arial"/>
    </font>
    <font>
      <sz val="10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b/>
    </font>
    <font>
      <b/>
      <sz val="10.0"/>
      <name val="Arial"/>
    </font>
    <font>
      <b/>
      <sz val="10.0"/>
      <color rgb="FFA64D79"/>
      <name val="Arial"/>
    </font>
    <font>
      <b/>
      <sz val="12.0"/>
      <color rgb="FFA64D79"/>
      <name val="Exo"/>
    </font>
    <font>
      <sz val="8.0"/>
      <name val="Exo"/>
    </font>
    <font>
      <name val="Arial"/>
    </font>
    <font>
      <sz val="8.0"/>
      <color rgb="FFFFFFFF"/>
      <name val="Exo"/>
    </font>
    <font>
      <sz val="8.0"/>
      <color rgb="FFFFFFFF"/>
      <name val="&quot;Helvetica Neue&quot;"/>
    </font>
    <font>
      <u/>
      <sz val="8.0"/>
      <color rgb="FF0000FF"/>
      <name val="Exo"/>
    </font>
    <font>
      <sz val="11.0"/>
      <color rgb="FF000000"/>
      <name val="Calibri"/>
    </font>
    <font>
      <sz val="8.0"/>
      <color rgb="FF000000"/>
      <name val="Exo"/>
    </font>
    <font>
      <sz val="8.0"/>
      <color rgb="FFFF0000"/>
      <name val="Exo"/>
    </font>
    <font>
      <color rgb="FFFFFFFF"/>
    </font>
    <font>
      <sz val="12.0"/>
      <color rgb="FFFFFFFF"/>
      <name val="&quot;Aptos Narrow&quot;"/>
    </font>
    <font>
      <sz val="12.0"/>
      <color rgb="FF000000"/>
      <name val="Arial"/>
    </font>
    <font>
      <b/>
      <sz val="12.0"/>
      <color rgb="FF000000"/>
      <name val="Arial"/>
    </font>
    <font>
      <u/>
      <sz val="8.0"/>
      <color rgb="FF000000"/>
      <name val="Exo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color rgb="FF000000"/>
    </font>
    <font>
      <color rgb="FF000000"/>
      <name val="Arial"/>
    </font>
    <font>
      <u/>
      <color rgb="FF000000"/>
      <name val="Arial"/>
    </font>
    <font>
      <u/>
      <color rgb="FF000000"/>
      <name val="Arial"/>
    </font>
    <font>
      <color rgb="FFD9D9D9"/>
    </font>
    <font>
      <color rgb="FFCCCCCC"/>
    </font>
    <font>
      <b/>
      <color rgb="FFEFEFEF"/>
    </font>
    <font>
      <color rgb="FFEFEFEF"/>
    </font>
    <font>
      <name val="Exo"/>
    </font>
    <font>
      <sz val="18.0"/>
      <color rgb="FFFFFFFF"/>
      <name val="Pacifico"/>
    </font>
    <font>
      <color rgb="FFD9D9D9"/>
      <name val="Exo"/>
    </font>
    <font>
      <sz val="11.0"/>
      <color rgb="FF595959"/>
      <name val="Exo"/>
    </font>
    <font>
      <sz val="11.0"/>
      <name val="Exo"/>
    </font>
    <font>
      <sz val="11.0"/>
      <color rgb="FF000000"/>
      <name val="Inconsolata"/>
    </font>
    <font>
      <b/>
      <sz val="24.0"/>
      <color rgb="FFEA9999"/>
    </font>
    <font>
      <color rgb="FFFF0000"/>
    </font>
    <font>
      <sz val="11.0"/>
      <color rgb="FFA64D79"/>
      <name val="Exo"/>
    </font>
  </fonts>
  <fills count="21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98C07F"/>
        <bgColor rgb="FF98C07F"/>
      </patternFill>
    </fill>
    <fill>
      <patternFill patternType="solid">
        <fgColor rgb="FFB48291"/>
        <bgColor rgb="FFB48291"/>
      </patternFill>
    </fill>
    <fill>
      <patternFill patternType="solid">
        <fgColor rgb="FF6FA8DC"/>
        <bgColor rgb="FF6FA8DC"/>
      </patternFill>
    </fill>
    <fill>
      <patternFill patternType="solid">
        <fgColor rgb="FFAFAAB9"/>
        <bgColor rgb="FFAFAAB9"/>
      </patternFill>
    </fill>
    <fill>
      <patternFill patternType="solid">
        <fgColor rgb="FFA2C4C9"/>
        <bgColor rgb="FFA2C4C9"/>
      </patternFill>
    </fill>
    <fill>
      <patternFill patternType="solid">
        <fgColor rgb="FFC27BA0"/>
        <bgColor rgb="FFC27BA0"/>
      </patternFill>
    </fill>
  </fills>
  <borders count="22">
    <border/>
    <border>
      <bottom style="thick">
        <color rgb="FFFFFFFF"/>
      </bottom>
    </border>
    <border>
      <bottom style="thin">
        <color rgb="FFD9D9D9"/>
      </bottom>
    </border>
    <border>
      <bottom style="thick">
        <color rgb="FF666666"/>
      </bottom>
    </border>
    <border>
      <top style="thin">
        <color rgb="FFD9D9D9"/>
      </top>
      <bottom style="thin">
        <color rgb="FFD9D9D9"/>
      </bottom>
    </border>
    <border>
      <top style="thin">
        <color rgb="FFD9D9D9"/>
      </top>
    </border>
    <border>
      <bottom style="thin">
        <color rgb="FF000000"/>
      </bottom>
    </border>
    <border>
      <right style="thin">
        <color rgb="FF000000"/>
      </right>
    </border>
    <border>
      <bottom style="double">
        <color rgb="FF000000"/>
      </bottom>
    </border>
    <border>
      <top style="thin">
        <color rgb="FF000000"/>
      </top>
    </border>
    <border>
      <top style="double">
        <color rgb="FF000000"/>
      </top>
      <bottom style="thin">
        <color rgb="FF000000"/>
      </bottom>
    </border>
    <border>
      <top style="double">
        <color rgb="FF000000"/>
      </top>
    </border>
    <border>
      <bottom style="thick">
        <color rgb="FF000000"/>
      </bottom>
    </border>
    <border>
      <left style="thin">
        <color rgb="FFF2F2F2"/>
      </left>
    </border>
    <border>
      <bottom style="thin">
        <color rgb="FF0000FF"/>
      </bottom>
    </border>
    <border>
      <left style="dotted">
        <color rgb="FFB7B7B7"/>
      </left>
    </border>
    <border>
      <left style="dotted">
        <color rgb="FFB7B7B7"/>
      </left>
      <top style="dotted">
        <color rgb="FFB7B7B7"/>
      </top>
    </border>
    <border>
      <top style="dotted">
        <color rgb="FFB7B7B7"/>
      </top>
    </border>
    <border>
      <right style="dotted">
        <color rgb="FFB7B7B7"/>
      </right>
      <top style="dotted">
        <color rgb="FFB7B7B7"/>
      </top>
    </border>
    <border>
      <left style="dotted">
        <color rgb="FFB7B7B7"/>
      </left>
      <bottom style="dotted">
        <color rgb="FFB7B7B7"/>
      </bottom>
    </border>
    <border>
      <bottom style="dotted">
        <color rgb="FFB7B7B7"/>
      </bottom>
    </border>
    <border>
      <right style="dotted">
        <color rgb="FFB7B7B7"/>
      </right>
      <bottom style="dotted">
        <color rgb="FFB7B7B7"/>
      </bottom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1" fillId="0" fontId="2" numFmtId="0" xfId="0" applyBorder="1" applyFont="1"/>
    <xf borderId="0" fillId="0" fontId="3" numFmtId="0" xfId="0" applyFont="1"/>
    <xf borderId="0" fillId="3" fontId="4" numFmtId="164" xfId="0" applyAlignment="1" applyFill="1" applyFont="1" applyNumberFormat="1">
      <alignment horizontal="center" readingOrder="0" vertical="center"/>
    </xf>
    <xf borderId="0" fillId="3" fontId="4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4" fontId="5" numFmtId="0" xfId="0" applyAlignment="1" applyFill="1" applyFont="1">
      <alignment horizontal="center" readingOrder="0"/>
    </xf>
    <xf borderId="2" fillId="4" fontId="5" numFmtId="0" xfId="0" applyAlignment="1" applyBorder="1" applyFont="1">
      <alignment horizontal="center" readingOrder="0"/>
    </xf>
    <xf borderId="2" fillId="0" fontId="2" numFmtId="0" xfId="0" applyBorder="1" applyFont="1"/>
    <xf borderId="0" fillId="0" fontId="5" numFmtId="0" xfId="0" applyAlignment="1" applyFont="1">
      <alignment horizontal="center" readingOrder="0"/>
    </xf>
    <xf borderId="3" fillId="3" fontId="6" numFmtId="164" xfId="0" applyAlignment="1" applyBorder="1" applyFont="1" applyNumberFormat="1">
      <alignment horizontal="center" readingOrder="0" shrinkToFit="0" vertical="center" wrapText="1"/>
    </xf>
    <xf borderId="0" fillId="3" fontId="6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3" fontId="0" numFmtId="164" xfId="0" applyAlignment="1" applyFont="1" applyNumberFormat="1">
      <alignment horizontal="center" readingOrder="0" vertical="center"/>
    </xf>
    <xf borderId="2" fillId="0" fontId="2" numFmtId="0" xfId="0" applyAlignment="1" applyBorder="1" applyFont="1">
      <alignment readingOrder="0"/>
    </xf>
    <xf borderId="2" fillId="3" fontId="0" numFmtId="164" xfId="0" applyAlignment="1" applyBorder="1" applyFont="1" applyNumberFormat="1">
      <alignment horizontal="center" readingOrder="0" vertical="center"/>
    </xf>
    <xf borderId="2" fillId="0" fontId="2" numFmtId="164" xfId="0" applyBorder="1" applyFont="1" applyNumberFormat="1"/>
    <xf borderId="0" fillId="0" fontId="2" numFmtId="10" xfId="0" applyFont="1" applyNumberFormat="1"/>
    <xf borderId="0" fillId="0" fontId="2" numFmtId="0" xfId="0" applyAlignment="1" applyFont="1">
      <alignment readingOrder="0"/>
    </xf>
    <xf borderId="2" fillId="0" fontId="3" numFmtId="164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readingOrder="0"/>
    </xf>
    <xf borderId="4" fillId="3" fontId="0" numFmtId="164" xfId="0" applyAlignment="1" applyBorder="1" applyFont="1" applyNumberFormat="1">
      <alignment horizontal="center" readingOrder="0" vertical="center"/>
    </xf>
    <xf borderId="4" fillId="0" fontId="2" numFmtId="164" xfId="0" applyBorder="1" applyFont="1" applyNumberFormat="1"/>
    <xf borderId="4" fillId="0" fontId="3" numFmtId="0" xfId="0" applyAlignment="1" applyBorder="1" applyFont="1">
      <alignment readingOrder="0"/>
    </xf>
    <xf borderId="4" fillId="3" fontId="0" numFmtId="0" xfId="0" applyAlignment="1" applyBorder="1" applyFont="1">
      <alignment horizontal="left" readingOrder="0" vertical="center"/>
    </xf>
    <xf borderId="5" fillId="3" fontId="0" numFmtId="0" xfId="0" applyAlignment="1" applyBorder="1" applyFont="1">
      <alignment horizontal="left" readingOrder="0" vertical="center"/>
    </xf>
    <xf borderId="5" fillId="3" fontId="0" numFmtId="164" xfId="0" applyAlignment="1" applyBorder="1" applyFont="1" applyNumberFormat="1">
      <alignment horizontal="center" readingOrder="0" vertical="center"/>
    </xf>
    <xf borderId="5" fillId="0" fontId="2" numFmtId="164" xfId="0" applyBorder="1" applyFont="1" applyNumberFormat="1"/>
    <xf borderId="0" fillId="0" fontId="2" numFmtId="165" xfId="0" applyAlignment="1" applyFont="1" applyNumberFormat="1">
      <alignment horizontal="right" readingOrder="0"/>
    </xf>
    <xf borderId="5" fillId="0" fontId="8" numFmtId="0" xfId="0" applyAlignment="1" applyBorder="1" applyFont="1">
      <alignment horizontal="center" readingOrder="0" vertical="center"/>
    </xf>
    <xf borderId="5" fillId="0" fontId="9" numFmtId="164" xfId="0" applyAlignment="1" applyBorder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right" readingOrder="0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readingOrder="0" vertical="center"/>
    </xf>
    <xf borderId="6" fillId="0" fontId="10" numFmtId="164" xfId="0" applyAlignment="1" applyBorder="1" applyFont="1" applyNumberFormat="1">
      <alignment horizontal="center" readingOrder="0" vertical="center"/>
    </xf>
    <xf borderId="6" fillId="0" fontId="10" numFmtId="164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166" xfId="0" applyAlignment="1" applyFont="1" applyNumberFormat="1">
      <alignment horizontal="center" readingOrder="0" vertical="center"/>
    </xf>
    <xf borderId="0" fillId="0" fontId="11" numFmtId="167" xfId="0" applyAlignment="1" applyFont="1" applyNumberFormat="1">
      <alignment horizontal="center" readingOrder="0" vertical="center"/>
    </xf>
    <xf borderId="0" fillId="3" fontId="0" numFmtId="165" xfId="0" applyAlignment="1" applyFont="1" applyNumberFormat="1">
      <alignment horizontal="right" readingOrder="0" vertical="center"/>
    </xf>
    <xf borderId="0" fillId="3" fontId="4" numFmtId="165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horizontal="right"/>
    </xf>
    <xf borderId="0" fillId="0" fontId="11" numFmtId="168" xfId="0" applyAlignment="1" applyFont="1" applyNumberFormat="1">
      <alignment horizontal="center" readingOrder="0" vertical="center"/>
    </xf>
    <xf borderId="7" fillId="0" fontId="2" numFmtId="0" xfId="0" applyBorder="1" applyFont="1"/>
    <xf borderId="0" fillId="0" fontId="2" numFmtId="169" xfId="0" applyAlignment="1" applyFont="1" applyNumberFormat="1">
      <alignment readingOrder="0"/>
    </xf>
    <xf borderId="7" fillId="0" fontId="2" numFmtId="0" xfId="0" applyAlignment="1" applyBorder="1" applyFont="1">
      <alignment readingOrder="0"/>
    </xf>
    <xf borderId="0" fillId="0" fontId="2" numFmtId="170" xfId="0" applyAlignment="1" applyFont="1" applyNumberFormat="1">
      <alignment readingOrder="0"/>
    </xf>
    <xf borderId="7" fillId="0" fontId="2" numFmtId="170" xfId="0" applyAlignment="1" applyBorder="1" applyFont="1" applyNumberForma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Fill="1" applyFont="1"/>
    <xf borderId="0" fillId="6" fontId="2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0" fontId="2" numFmtId="171" xfId="0" applyAlignment="1" applyFont="1" applyNumberFormat="1">
      <alignment readingOrder="0"/>
    </xf>
    <xf borderId="8" fillId="0" fontId="7" numFmtId="0" xfId="0" applyAlignment="1" applyBorder="1" applyFont="1">
      <alignment readingOrder="0"/>
    </xf>
    <xf borderId="8" fillId="0" fontId="7" numFmtId="0" xfId="0" applyBorder="1" applyFont="1"/>
    <xf borderId="8" fillId="0" fontId="2" numFmtId="0" xfId="0" applyBorder="1" applyFont="1"/>
    <xf borderId="0" fillId="0" fontId="7" numFmtId="0" xfId="0" applyAlignment="1" applyFont="1">
      <alignment readingOrder="0" shrinkToFit="0" wrapText="1"/>
    </xf>
    <xf borderId="0" fillId="0" fontId="2" numFmtId="171" xfId="0" applyFont="1" applyNumberFormat="1"/>
    <xf borderId="9" fillId="0" fontId="7" numFmtId="0" xfId="0" applyAlignment="1" applyBorder="1" applyFont="1">
      <alignment readingOrder="0"/>
    </xf>
    <xf borderId="9" fillId="0" fontId="2" numFmtId="0" xfId="0" applyBorder="1" applyFont="1"/>
    <xf borderId="9" fillId="0" fontId="2" numFmtId="165" xfId="0" applyBorder="1" applyFont="1" applyNumberFormat="1"/>
    <xf borderId="10" fillId="0" fontId="7" numFmtId="0" xfId="0" applyAlignment="1" applyBorder="1" applyFont="1">
      <alignment readingOrder="0"/>
    </xf>
    <xf borderId="10" fillId="0" fontId="2" numFmtId="0" xfId="0" applyBorder="1" applyFont="1"/>
    <xf borderId="6" fillId="0" fontId="7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70" xfId="0" applyAlignment="1" applyFont="1" applyNumberFormat="1">
      <alignment horizontal="left" readingOrder="0"/>
    </xf>
    <xf borderId="9" fillId="0" fontId="2" numFmtId="171" xfId="0" applyBorder="1" applyFont="1" applyNumberFormat="1"/>
    <xf borderId="11" fillId="0" fontId="7" numFmtId="0" xfId="0" applyAlignment="1" applyBorder="1" applyFont="1">
      <alignment readingOrder="0"/>
    </xf>
    <xf borderId="11" fillId="0" fontId="2" numFmtId="0" xfId="0" applyBorder="1" applyFont="1"/>
    <xf borderId="11" fillId="0" fontId="2" numFmtId="165" xfId="0" applyBorder="1" applyFont="1" applyNumberFormat="1"/>
    <xf borderId="12" fillId="0" fontId="7" numFmtId="0" xfId="0" applyAlignment="1" applyBorder="1" applyFont="1">
      <alignment readingOrder="0"/>
    </xf>
    <xf borderId="0" fillId="0" fontId="2" numFmtId="165" xfId="0" applyAlignment="1" applyFont="1" applyNumberFormat="1">
      <alignment readingOrder="0"/>
    </xf>
    <xf borderId="0" fillId="0" fontId="11" numFmtId="172" xfId="0" applyAlignment="1" applyFont="1" applyNumberFormat="1">
      <alignment horizontal="center" readingOrder="0" vertical="center"/>
    </xf>
    <xf borderId="0" fillId="0" fontId="12" numFmtId="0" xfId="0" applyAlignment="1" applyFont="1">
      <alignment vertical="bottom"/>
    </xf>
    <xf borderId="0" fillId="0" fontId="12" numFmtId="165" xfId="0" applyAlignment="1" applyFont="1" applyNumberFormat="1">
      <alignment readingOrder="0" vertical="bottom"/>
    </xf>
    <xf borderId="0" fillId="0" fontId="12" numFmtId="0" xfId="0" applyAlignment="1" applyFont="1">
      <alignment horizontal="right" vertical="bottom"/>
    </xf>
    <xf borderId="0" fillId="0" fontId="12" numFmtId="165" xfId="0" applyAlignment="1" applyFont="1" applyNumberFormat="1">
      <alignment horizontal="right" vertical="bottom"/>
    </xf>
    <xf borderId="0" fillId="0" fontId="12" numFmtId="0" xfId="0" applyAlignment="1" applyFont="1">
      <alignment readingOrder="0" vertical="bottom"/>
    </xf>
    <xf borderId="0" fillId="0" fontId="12" numFmtId="171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readingOrder="0" vertical="top"/>
    </xf>
    <xf borderId="0" fillId="0" fontId="15" numFmtId="164" xfId="0" applyAlignment="1" applyFont="1" applyNumberFormat="1">
      <alignment horizontal="center" readingOrder="0" vertical="center"/>
    </xf>
    <xf borderId="13" fillId="0" fontId="16" numFmtId="164" xfId="0" applyAlignment="1" applyBorder="1" applyFont="1" applyNumberFormat="1">
      <alignment horizontal="left" readingOrder="0" vertical="bottom"/>
    </xf>
    <xf borderId="0" fillId="0" fontId="11" numFmtId="173" xfId="0" applyAlignment="1" applyFont="1" applyNumberFormat="1">
      <alignment horizontal="center" readingOrder="0" vertical="center"/>
    </xf>
    <xf borderId="9" fillId="3" fontId="6" numFmtId="164" xfId="0" applyAlignment="1" applyBorder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bottom"/>
    </xf>
    <xf borderId="0" fillId="0" fontId="11" numFmtId="164" xfId="0" applyAlignment="1" applyFont="1" applyNumberFormat="1">
      <alignment horizontal="center" vertical="bottom"/>
    </xf>
    <xf borderId="0" fillId="8" fontId="11" numFmtId="164" xfId="0" applyAlignment="1" applyFill="1" applyFont="1" applyNumberFormat="1">
      <alignment horizontal="center" readingOrder="0" vertical="center"/>
    </xf>
    <xf borderId="0" fillId="9" fontId="0" numFmtId="164" xfId="0" applyAlignment="1" applyFill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/>
    </xf>
    <xf borderId="0" fillId="0" fontId="11" numFmtId="164" xfId="0" applyAlignment="1" applyFont="1" applyNumberFormat="1">
      <alignment horizontal="center" readingOrder="0"/>
    </xf>
    <xf borderId="0" fillId="0" fontId="11" numFmtId="165" xfId="0" applyAlignment="1" applyFont="1" applyNumberFormat="1">
      <alignment horizontal="center" readingOrder="0" vertical="center"/>
    </xf>
    <xf borderId="0" fillId="0" fontId="17" numFmtId="164" xfId="0" applyAlignment="1" applyFont="1" applyNumberFormat="1">
      <alignment horizontal="center" readingOrder="0" vertical="center"/>
    </xf>
    <xf borderId="0" fillId="0" fontId="17" numFmtId="164" xfId="0" applyAlignment="1" applyFont="1" applyNumberFormat="1">
      <alignment horizontal="center" readingOrder="0" vertical="center"/>
    </xf>
    <xf borderId="0" fillId="0" fontId="18" numFmtId="164" xfId="0" applyAlignment="1" applyFont="1" applyNumberFormat="1">
      <alignment horizontal="center" readingOrder="0" vertical="center"/>
    </xf>
    <xf borderId="0" fillId="0" fontId="19" numFmtId="0" xfId="0" applyFont="1"/>
    <xf borderId="0" fillId="0" fontId="20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20" numFmtId="164" xfId="0" applyAlignment="1" applyFont="1" applyNumberFormat="1">
      <alignment horizontal="right" readingOrder="0" shrinkToFit="0" vertical="bottom" wrapText="0"/>
    </xf>
    <xf borderId="0" fillId="0" fontId="17" numFmtId="164" xfId="0" applyAlignment="1" applyFont="1" applyNumberFormat="1">
      <alignment readingOrder="0" shrinkToFit="0" vertical="bottom" wrapText="0"/>
    </xf>
    <xf borderId="0" fillId="0" fontId="11" numFmtId="171" xfId="0" applyAlignment="1" applyFont="1" applyNumberFormat="1">
      <alignment horizontal="center" readingOrder="0" vertical="center"/>
    </xf>
    <xf borderId="13" fillId="0" fontId="16" numFmtId="167" xfId="0" applyAlignment="1" applyBorder="1" applyFont="1" applyNumberFormat="1">
      <alignment horizontal="left" readingOrder="0" vertical="bottom"/>
    </xf>
    <xf borderId="13" fillId="0" fontId="16" numFmtId="0" xfId="0" applyAlignment="1" applyBorder="1" applyFont="1">
      <alignment horizontal="left" readingOrder="0" vertical="bottom"/>
    </xf>
    <xf borderId="13" fillId="0" fontId="16" numFmtId="164" xfId="0" applyAlignment="1" applyBorder="1" applyFont="1" applyNumberFormat="1">
      <alignment horizontal="right" readingOrder="0" vertical="bottom"/>
    </xf>
    <xf borderId="0" fillId="0" fontId="21" numFmtId="0" xfId="0" applyAlignment="1" applyFont="1">
      <alignment horizontal="right" readingOrder="0" shrinkToFit="0" vertical="bottom" wrapText="0"/>
    </xf>
    <xf borderId="13" fillId="0" fontId="16" numFmtId="167" xfId="0" applyAlignment="1" applyBorder="1" applyFont="1" applyNumberFormat="1">
      <alignment vertical="bottom"/>
    </xf>
    <xf borderId="13" fillId="0" fontId="16" numFmtId="0" xfId="0" applyAlignment="1" applyBorder="1" applyFont="1">
      <alignment vertical="bottom"/>
    </xf>
    <xf borderId="13" fillId="0" fontId="16" numFmtId="164" xfId="0" applyAlignment="1" applyBorder="1" applyFont="1" applyNumberFormat="1">
      <alignment horizontal="right" vertical="bottom"/>
    </xf>
    <xf borderId="13" fillId="0" fontId="16" numFmtId="164" xfId="0" applyAlignment="1" applyBorder="1" applyFont="1" applyNumberFormat="1">
      <alignment vertical="bottom"/>
    </xf>
    <xf borderId="13" fillId="0" fontId="11" numFmtId="167" xfId="0" applyAlignment="1" applyBorder="1" applyFont="1" applyNumberFormat="1">
      <alignment horizontal="center" readingOrder="0" vertical="center"/>
    </xf>
    <xf borderId="13" fillId="0" fontId="17" numFmtId="0" xfId="0" applyAlignment="1" applyBorder="1" applyFont="1">
      <alignment horizontal="center" readingOrder="0" shrinkToFit="0" vertical="bottom" wrapText="0"/>
    </xf>
    <xf borderId="13" fillId="0" fontId="11" numFmtId="164" xfId="0" applyAlignment="1" applyBorder="1" applyFont="1" applyNumberFormat="1">
      <alignment horizontal="center" readingOrder="0" vertical="bottom"/>
    </xf>
    <xf borderId="13" fillId="0" fontId="11" numFmtId="164" xfId="0" applyAlignment="1" applyBorder="1" applyFont="1" applyNumberFormat="1">
      <alignment horizontal="center" readingOrder="0" vertical="center"/>
    </xf>
    <xf borderId="0" fillId="0" fontId="17" numFmtId="167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0" fillId="0" fontId="17" numFmtId="164" xfId="0" applyAlignment="1" applyFont="1" applyNumberFormat="1">
      <alignment horizontal="center" readingOrder="0" vertical="bottom"/>
    </xf>
    <xf borderId="13" fillId="0" fontId="17" numFmtId="167" xfId="0" applyAlignment="1" applyBorder="1" applyFont="1" applyNumberFormat="1">
      <alignment horizontal="center" readingOrder="0" shrinkToFit="0" vertical="bottom" wrapText="0"/>
    </xf>
    <xf borderId="13" fillId="0" fontId="17" numFmtId="164" xfId="0" applyAlignment="1" applyBorder="1" applyFont="1" applyNumberFormat="1">
      <alignment horizontal="center" readingOrder="0" shrinkToFit="0" vertical="bottom" wrapText="0"/>
    </xf>
    <xf borderId="13" fillId="0" fontId="17" numFmtId="167" xfId="0" applyAlignment="1" applyBorder="1" applyFont="1" applyNumberFormat="1">
      <alignment horizontal="center" readingOrder="0" vertical="bottom"/>
    </xf>
    <xf borderId="13" fillId="0" fontId="17" numFmtId="0" xfId="0" applyAlignment="1" applyBorder="1" applyFont="1">
      <alignment horizontal="center" readingOrder="0" vertical="bottom"/>
    </xf>
    <xf borderId="13" fillId="0" fontId="17" numFmtId="164" xfId="0" applyAlignment="1" applyBorder="1" applyFont="1" applyNumberFormat="1">
      <alignment horizontal="center" readingOrder="0" vertical="bottom"/>
    </xf>
    <xf borderId="0" fillId="0" fontId="17" numFmtId="167" xfId="0" applyAlignment="1" applyFont="1" applyNumberFormat="1">
      <alignment horizontal="center" readingOrder="0" shrinkToFit="0" vertical="bottom" wrapText="0"/>
    </xf>
    <xf borderId="0" fillId="0" fontId="17" numFmtId="164" xfId="0" applyAlignment="1" applyFont="1" applyNumberFormat="1">
      <alignment horizontal="center" readingOrder="0" shrinkToFit="0" vertical="bottom" wrapText="0"/>
    </xf>
    <xf borderId="0" fillId="0" fontId="22" numFmtId="164" xfId="0" applyAlignment="1" applyFont="1" applyNumberFormat="1">
      <alignment horizontal="right" readingOrder="0" shrinkToFit="0" vertical="bottom" wrapText="0"/>
    </xf>
    <xf borderId="0" fillId="0" fontId="23" numFmtId="164" xfId="0" applyAlignment="1" applyFont="1" applyNumberFormat="1">
      <alignment horizontal="center" readingOrder="0" shrinkToFit="0" vertical="bottom" wrapText="0"/>
    </xf>
    <xf borderId="0" fillId="0" fontId="17" numFmtId="167" xfId="0" applyAlignment="1" applyFont="1" applyNumberFormat="1">
      <alignment horizontal="right"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24" numFmtId="167" xfId="0" applyAlignment="1" applyFont="1" applyNumberFormat="1">
      <alignment horizontal="right" readingOrder="0" shrinkToFit="0" vertical="bottom" wrapText="0"/>
    </xf>
    <xf borderId="0" fillId="0" fontId="24" numFmtId="164" xfId="0" applyAlignment="1" applyFont="1" applyNumberFormat="1">
      <alignment horizontal="right" readingOrder="0" shrinkToFit="0" vertical="bottom" wrapText="0"/>
    </xf>
    <xf borderId="0" fillId="0" fontId="24" numFmtId="164" xfId="0" applyAlignment="1" applyFont="1" applyNumberFormat="1">
      <alignment readingOrder="0" shrinkToFit="0" vertical="bottom" wrapText="0"/>
    </xf>
    <xf borderId="0" fillId="0" fontId="16" numFmtId="167" xfId="0" applyAlignment="1" applyFont="1" applyNumberForma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0" fillId="0" fontId="16" numFmtId="164" xfId="0" applyAlignment="1" applyFont="1" applyNumberFormat="1">
      <alignment horizontal="right" readingOrder="0" vertical="bottom"/>
    </xf>
    <xf borderId="0" fillId="0" fontId="16" numFmtId="171" xfId="0" applyAlignment="1" applyFont="1" applyNumberFormat="1">
      <alignment horizontal="left" readingOrder="0" vertical="bottom"/>
    </xf>
    <xf borderId="0" fillId="0" fontId="25" numFmtId="164" xfId="0" applyAlignment="1" applyFont="1" applyNumberFormat="1">
      <alignment readingOrder="0" shrinkToFit="0" vertical="bottom" wrapText="0"/>
    </xf>
    <xf borderId="13" fillId="0" fontId="21" numFmtId="0" xfId="0" applyAlignment="1" applyBorder="1" applyFont="1">
      <alignment horizontal="right" readingOrder="0" shrinkToFit="0" vertical="bottom" wrapText="0"/>
    </xf>
    <xf borderId="13" fillId="0" fontId="11" numFmtId="172" xfId="0" applyAlignment="1" applyBorder="1" applyFont="1" applyNumberFormat="1">
      <alignment horizontal="center" readingOrder="0" vertical="center"/>
    </xf>
    <xf borderId="13" fillId="0" fontId="21" numFmtId="164" xfId="0" applyAlignment="1" applyBorder="1" applyFont="1" applyNumberFormat="1">
      <alignment horizontal="right" readingOrder="0" shrinkToFit="0" vertical="bottom" wrapText="0"/>
    </xf>
    <xf borderId="13" fillId="0" fontId="21" numFmtId="164" xfId="0" applyAlignment="1" applyBorder="1" applyFont="1" applyNumberFormat="1">
      <alignment readingOrder="0" shrinkToFit="0" vertical="bottom" wrapText="0"/>
    </xf>
    <xf borderId="13" fillId="0" fontId="21" numFmtId="167" xfId="0" applyAlignment="1" applyBorder="1" applyFont="1" applyNumberFormat="1">
      <alignment horizontal="right" readingOrder="0" shrinkToFit="0" vertical="bottom" wrapText="0"/>
    </xf>
    <xf borderId="13" fillId="0" fontId="24" numFmtId="167" xfId="0" applyAlignment="1" applyBorder="1" applyFont="1" applyNumberFormat="1">
      <alignment horizontal="right" readingOrder="0" shrinkToFit="0" vertical="bottom" wrapText="0"/>
    </xf>
    <xf borderId="13" fillId="0" fontId="24" numFmtId="164" xfId="0" applyAlignment="1" applyBorder="1" applyFont="1" applyNumberFormat="1">
      <alignment horizontal="right" readingOrder="0" shrinkToFit="0" vertical="bottom" wrapText="0"/>
    </xf>
    <xf borderId="13" fillId="0" fontId="24" numFmtId="164" xfId="0" applyAlignment="1" applyBorder="1" applyFont="1" applyNumberFormat="1">
      <alignment readingOrder="0" shrinkToFit="0" vertical="bottom" wrapText="0"/>
    </xf>
    <xf borderId="0" fillId="10" fontId="24" numFmtId="167" xfId="0" applyAlignment="1" applyFill="1" applyFont="1" applyNumberFormat="1">
      <alignment horizontal="right" readingOrder="0" shrinkToFit="0" vertical="bottom" wrapText="0"/>
    </xf>
    <xf borderId="0" fillId="10" fontId="16" numFmtId="0" xfId="0" applyAlignment="1" applyFont="1">
      <alignment horizontal="left" readingOrder="0" vertical="bottom"/>
    </xf>
    <xf borderId="0" fillId="10" fontId="24" numFmtId="164" xfId="0" applyAlignment="1" applyFont="1" applyNumberFormat="1">
      <alignment horizontal="right" readingOrder="0" shrinkToFit="0" vertical="bottom" wrapText="0"/>
    </xf>
    <xf borderId="0" fillId="10" fontId="24" numFmtId="0" xfId="0" applyAlignment="1" applyFont="1">
      <alignment readingOrder="0" shrinkToFit="0" vertical="bottom" wrapText="0"/>
    </xf>
    <xf borderId="0" fillId="0" fontId="26" numFmtId="164" xfId="0" applyAlignment="1" applyFont="1" applyNumberFormat="1">
      <alignment readingOrder="0"/>
    </xf>
    <xf borderId="0" fillId="10" fontId="21" numFmtId="0" xfId="0" applyAlignment="1" applyFont="1">
      <alignment horizontal="right" readingOrder="0" shrinkToFit="0" vertical="bottom" wrapText="0"/>
    </xf>
    <xf borderId="0" fillId="10" fontId="24" numFmtId="164" xfId="0" applyAlignment="1" applyFont="1" applyNumberFormat="1">
      <alignment readingOrder="0" shrinkToFit="0" vertical="bottom" wrapText="0"/>
    </xf>
    <xf borderId="0" fillId="0" fontId="24" numFmtId="171" xfId="0" applyAlignment="1" applyFont="1" applyNumberFormat="1">
      <alignment readingOrder="0" shrinkToFit="0" vertical="bottom" wrapText="0"/>
    </xf>
    <xf borderId="0" fillId="0" fontId="24" numFmtId="168" xfId="0" applyAlignment="1" applyFont="1" applyNumberFormat="1">
      <alignment horizontal="right"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4" numFmtId="0" xfId="0" applyAlignment="1" applyFont="1">
      <alignment horizontal="right" readingOrder="0" shrinkToFit="0" vertical="bottom" wrapText="0"/>
    </xf>
    <xf borderId="0" fillId="0" fontId="16" numFmtId="164" xfId="0" applyAlignment="1" applyFont="1" applyNumberFormat="1">
      <alignment horizontal="left" readingOrder="0" vertical="bottom"/>
    </xf>
    <xf borderId="0" fillId="0" fontId="21" numFmtId="164" xfId="0" applyAlignment="1" applyFont="1" applyNumberFormat="1">
      <alignment horizontal="right" readingOrder="0" shrinkToFit="0" vertical="bottom" wrapText="0"/>
    </xf>
    <xf borderId="13" fillId="0" fontId="16" numFmtId="174" xfId="0" applyAlignment="1" applyBorder="1" applyFont="1" applyNumberFormat="1">
      <alignment horizontal="left" readingOrder="0" vertical="bottom"/>
    </xf>
    <xf borderId="13" fillId="0" fontId="16" numFmtId="0" xfId="0" applyAlignment="1" applyBorder="1" applyFont="1">
      <alignment horizontal="right" readingOrder="0" vertical="bottom"/>
    </xf>
    <xf borderId="13" fillId="0" fontId="16" numFmtId="172" xfId="0" applyAlignment="1" applyBorder="1" applyFont="1" applyNumberFormat="1">
      <alignment horizontal="left" readingOrder="0" vertical="bottom"/>
    </xf>
    <xf borderId="13" fillId="0" fontId="2" numFmtId="0" xfId="0" applyAlignment="1" applyBorder="1" applyFont="1">
      <alignment readingOrder="0"/>
    </xf>
    <xf borderId="0" fillId="0" fontId="26" numFmtId="0" xfId="0" applyFont="1"/>
    <xf borderId="0" fillId="0" fontId="17" numFmtId="167" xfId="0" applyAlignment="1" applyFont="1" applyNumberFormat="1">
      <alignment horizontal="center" readingOrder="0" vertical="center"/>
    </xf>
    <xf borderId="13" fillId="0" fontId="17" numFmtId="167" xfId="0" applyAlignment="1" applyBorder="1" applyFont="1" applyNumberFormat="1">
      <alignment horizontal="center" readingOrder="0" vertical="center"/>
    </xf>
    <xf borderId="13" fillId="0" fontId="17" numFmtId="164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0" numFmtId="167" xfId="0" applyAlignment="1" applyFont="1" applyNumberFormat="1">
      <alignment horizontal="left" readingOrder="0" vertical="bottom"/>
    </xf>
    <xf borderId="0" fillId="0" fontId="0" numFmtId="0" xfId="0" applyAlignment="1" applyFont="1">
      <alignment horizontal="left" readingOrder="0" vertical="bottom"/>
    </xf>
    <xf borderId="0" fillId="0" fontId="0" numFmtId="164" xfId="0" applyAlignment="1" applyFont="1" applyNumberFormat="1">
      <alignment horizontal="left" readingOrder="0" vertical="bottom"/>
    </xf>
    <xf borderId="0" fillId="0" fontId="0" numFmtId="167" xfId="0" applyAlignment="1" applyFont="1" applyNumberFormat="1">
      <alignment horizontal="left" readingOrder="0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0" fillId="0" fontId="0" numFmtId="164" xfId="0" applyAlignment="1" applyFont="1" applyNumberFormat="1">
      <alignment horizontal="left" shrinkToFit="0" vertical="bottom" wrapText="0"/>
    </xf>
    <xf borderId="0" fillId="0" fontId="0" numFmtId="164" xfId="0" applyAlignment="1" applyFont="1" applyNumberFormat="1">
      <alignment horizontal="left" readingOrder="0" shrinkToFit="0" vertical="bottom" wrapText="0"/>
    </xf>
    <xf borderId="0" fillId="0" fontId="3" numFmtId="167" xfId="0" applyAlignment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readingOrder="0" vertical="bottom"/>
    </xf>
    <xf borderId="0" fillId="0" fontId="3" numFmtId="164" xfId="0" applyAlignment="1" applyFont="1" applyNumberFormat="1">
      <alignment horizontal="left" readingOrder="0" vertical="center"/>
    </xf>
    <xf borderId="13" fillId="0" fontId="0" numFmtId="0" xfId="0" applyAlignment="1" applyBorder="1" applyFont="1">
      <alignment horizontal="left" readingOrder="0" shrinkToFit="0" vertical="bottom" wrapText="0"/>
    </xf>
    <xf borderId="0" fillId="0" fontId="3" numFmtId="168" xfId="0" applyAlignment="1" applyFont="1" applyNumberFormat="1">
      <alignment horizontal="left" readingOrder="0"/>
    </xf>
    <xf borderId="13" fillId="0" fontId="0" numFmtId="0" xfId="0" applyAlignment="1" applyBorder="1" applyFont="1">
      <alignment horizontal="left" readingOrder="0" vertical="bottom"/>
    </xf>
    <xf borderId="13" fillId="0" fontId="0" numFmtId="174" xfId="0" applyAlignment="1" applyBorder="1" applyFont="1" applyNumberFormat="1">
      <alignment horizontal="left" readingOrder="0" vertical="bottom"/>
    </xf>
    <xf borderId="13" fillId="0" fontId="0" numFmtId="167" xfId="0" applyAlignment="1" applyBorder="1" applyFont="1" applyNumberFormat="1">
      <alignment horizontal="left" readingOrder="0" vertical="bottom"/>
    </xf>
    <xf borderId="13" fillId="0" fontId="0" numFmtId="164" xfId="0" applyAlignment="1" applyBorder="1" applyFont="1" applyNumberFormat="1">
      <alignment horizontal="left" readingOrder="0" vertical="bottom"/>
    </xf>
    <xf borderId="13" fillId="0" fontId="0" numFmtId="167" xfId="0" applyAlignment="1" applyBorder="1" applyFont="1" applyNumberFormat="1">
      <alignment horizontal="left" readingOrder="0" shrinkToFit="0" vertical="bottom" wrapText="0"/>
    </xf>
    <xf borderId="13" fillId="0" fontId="0" numFmtId="164" xfId="0" applyAlignment="1" applyBorder="1" applyFont="1" applyNumberFormat="1">
      <alignment horizontal="left" shrinkToFit="0" vertical="bottom" wrapText="0"/>
    </xf>
    <xf borderId="13" fillId="0" fontId="3" numFmtId="167" xfId="0" applyAlignment="1" applyBorder="1" applyFont="1" applyNumberFormat="1">
      <alignment horizontal="left" readingOrder="0" vertical="center"/>
    </xf>
    <xf borderId="13" fillId="0" fontId="3" numFmtId="164" xfId="0" applyAlignment="1" applyBorder="1" applyFont="1" applyNumberFormat="1">
      <alignment horizontal="left" readingOrder="0" vertical="center"/>
    </xf>
    <xf borderId="13" fillId="0" fontId="0" numFmtId="164" xfId="0" applyAlignment="1" applyBorder="1" applyFont="1" applyNumberFormat="1">
      <alignment horizontal="left" readingOrder="0" shrinkToFit="0" vertical="bottom" wrapText="0"/>
    </xf>
    <xf borderId="13" fillId="0" fontId="0" numFmtId="171" xfId="0" applyAlignment="1" applyBorder="1" applyFont="1" applyNumberFormat="1">
      <alignment horizontal="left" readingOrder="0" vertical="bottom"/>
    </xf>
    <xf borderId="13" fillId="0" fontId="0" numFmtId="171" xfId="0" applyAlignment="1" applyBorder="1" applyFont="1" applyNumberFormat="1">
      <alignment horizontal="left" readingOrder="0" shrinkToFit="0" vertical="bottom" wrapText="0"/>
    </xf>
    <xf borderId="0" fillId="0" fontId="27" numFmtId="167" xfId="0" applyAlignment="1" applyFont="1" applyNumberFormat="1">
      <alignment horizontal="right"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27" numFmtId="164" xfId="0" applyAlignment="1" applyFont="1" applyNumberFormat="1">
      <alignment horizontal="right" readingOrder="0" shrinkToFit="0" vertical="bottom" wrapText="0"/>
    </xf>
    <xf borderId="0" fillId="0" fontId="27" numFmtId="164" xfId="0" applyAlignment="1" applyFont="1" applyNumberFormat="1">
      <alignment readingOrder="0" shrinkToFit="0" vertical="bottom" wrapText="0"/>
    </xf>
    <xf borderId="0" fillId="0" fontId="28" numFmtId="164" xfId="0" applyAlignment="1" applyFont="1" applyNumberFormat="1">
      <alignment readingOrder="0" shrinkToFit="0" vertical="bottom" wrapText="0"/>
    </xf>
    <xf borderId="13" fillId="0" fontId="3" numFmtId="164" xfId="0" applyAlignment="1" applyBorder="1" applyFont="1" applyNumberFormat="1">
      <alignment horizontal="left" readingOrder="0" vertical="bottom"/>
    </xf>
    <xf borderId="0" fillId="0" fontId="3" numFmtId="0" xfId="0" applyAlignment="1" applyFont="1">
      <alignment horizontal="left"/>
    </xf>
    <xf borderId="13" fillId="0" fontId="3" numFmtId="172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27" numFmtId="168" xfId="0" applyAlignment="1" applyFont="1" applyNumberFormat="1">
      <alignment horizontal="right" readingOrder="0" shrinkToFit="0" vertical="bottom" wrapText="0"/>
    </xf>
    <xf borderId="0" fillId="0" fontId="27" numFmtId="174" xfId="0" applyAlignment="1" applyFont="1" applyNumberFormat="1">
      <alignment horizontal="right" readingOrder="0" shrinkToFit="0" vertical="bottom" wrapText="0"/>
    </xf>
    <xf borderId="0" fillId="0" fontId="27" numFmtId="0" xfId="0" applyAlignment="1" applyFont="1">
      <alignment horizontal="right" readingOrder="0" shrinkToFit="0" vertical="bottom" wrapText="0"/>
    </xf>
    <xf borderId="0" fillId="0" fontId="27" numFmtId="171" xfId="0" applyAlignment="1" applyFont="1" applyNumberFormat="1">
      <alignment readingOrder="0" shrinkToFit="0" vertical="bottom" wrapText="0"/>
    </xf>
    <xf borderId="0" fillId="0" fontId="27" numFmtId="173" xfId="0" applyAlignment="1" applyFont="1" applyNumberFormat="1">
      <alignment horizontal="right" readingOrder="0" shrinkToFit="0" vertical="bottom" wrapText="0"/>
    </xf>
    <xf borderId="0" fillId="0" fontId="27" numFmtId="172" xfId="0" applyAlignment="1" applyFont="1" applyNumberFormat="1">
      <alignment horizontal="right" readingOrder="0" shrinkToFit="0" vertical="bottom" wrapText="0"/>
    </xf>
    <xf borderId="0" fillId="0" fontId="27" numFmtId="167" xfId="0" applyAlignment="1" applyFont="1" applyNumberFormat="1">
      <alignment readingOrder="0" shrinkToFit="0" vertical="bottom" wrapText="0"/>
    </xf>
    <xf borderId="0" fillId="0" fontId="27" numFmtId="0" xfId="0" applyAlignment="1" applyFont="1">
      <alignment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27" numFmtId="174" xfId="0" applyAlignment="1" applyFont="1" applyNumberFormat="1">
      <alignment readingOrder="0" shrinkToFit="0" vertical="bottom" wrapText="0"/>
    </xf>
    <xf borderId="0" fillId="0" fontId="21" numFmtId="164" xfId="0" applyAlignment="1" applyFont="1" applyNumberFormat="1">
      <alignment horizontal="right" readingOrder="0" shrinkToFit="0" vertical="bottom" wrapText="1"/>
    </xf>
    <xf borderId="0" fillId="0" fontId="2" numFmtId="165" xfId="0" applyFont="1" applyNumberFormat="1"/>
    <xf borderId="0" fillId="0" fontId="30" numFmtId="0" xfId="0" applyAlignment="1" applyFont="1">
      <alignment readingOrder="0"/>
    </xf>
    <xf borderId="0" fillId="0" fontId="30" numFmtId="165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31" numFmtId="0" xfId="0" applyAlignment="1" applyFont="1">
      <alignment readingOrder="0"/>
    </xf>
    <xf borderId="0" fillId="0" fontId="31" numFmtId="165" xfId="0" applyAlignment="1" applyFont="1" applyNumberFormat="1">
      <alignment readingOrder="0"/>
    </xf>
    <xf borderId="0" fillId="0" fontId="3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11" fontId="7" numFmtId="0" xfId="0" applyAlignment="1" applyFill="1" applyFont="1">
      <alignment readingOrder="0"/>
    </xf>
    <xf borderId="0" fillId="12" fontId="7" numFmtId="0" xfId="0" applyAlignment="1" applyFill="1" applyFont="1">
      <alignment readingOrder="0"/>
    </xf>
    <xf borderId="0" fillId="13" fontId="7" numFmtId="0" xfId="0" applyAlignment="1" applyFill="1" applyFont="1">
      <alignment horizontal="center" readingOrder="0"/>
    </xf>
    <xf borderId="0" fillId="6" fontId="7" numFmtId="0" xfId="0" applyAlignment="1" applyFont="1">
      <alignment horizontal="center" readingOrder="0"/>
    </xf>
    <xf borderId="14" fillId="0" fontId="2" numFmtId="0" xfId="0" applyAlignment="1" applyBorder="1" applyFont="1">
      <alignment readingOrder="0"/>
    </xf>
    <xf borderId="14" fillId="0" fontId="2" numFmtId="171" xfId="0" applyAlignment="1" applyBorder="1" applyFont="1" applyNumberFormat="1">
      <alignment readingOrder="0"/>
    </xf>
    <xf borderId="14" fillId="0" fontId="2" numFmtId="0" xfId="0" applyBorder="1" applyFont="1"/>
    <xf borderId="14" fillId="0" fontId="2" numFmtId="165" xfId="0" applyAlignment="1" applyBorder="1" applyFont="1" applyNumberFormat="1">
      <alignment readingOrder="0"/>
    </xf>
    <xf borderId="0" fillId="3" fontId="2" numFmtId="0" xfId="0" applyAlignment="1" applyFont="1">
      <alignment horizontal="left"/>
    </xf>
    <xf borderId="14" fillId="14" fontId="2" numFmtId="0" xfId="0" applyAlignment="1" applyBorder="1" applyFill="1" applyFont="1">
      <alignment readingOrder="0"/>
    </xf>
    <xf borderId="14" fillId="14" fontId="2" numFmtId="171" xfId="0" applyBorder="1" applyFont="1" applyNumberFormat="1"/>
    <xf borderId="14" fillId="14" fontId="2" numFmtId="0" xfId="0" applyBorder="1" applyFont="1"/>
    <xf borderId="14" fillId="0" fontId="2" numFmtId="9" xfId="0" applyAlignment="1" applyBorder="1" applyFont="1" applyNumberFormat="1">
      <alignment readingOrder="0"/>
    </xf>
    <xf borderId="14" fillId="0" fontId="2" numFmtId="165" xfId="0" applyBorder="1" applyFont="1" applyNumberFormat="1"/>
    <xf borderId="0" fillId="0" fontId="2" numFmtId="9" xfId="0" applyAlignment="1" applyFont="1" applyNumberFormat="1">
      <alignment horizontal="left" readingOrder="0"/>
    </xf>
    <xf borderId="14" fillId="14" fontId="2" numFmtId="165" xfId="0" applyBorder="1" applyFont="1" applyNumberFormat="1"/>
    <xf borderId="14" fillId="14" fontId="7" numFmtId="0" xfId="0" applyAlignment="1" applyBorder="1" applyFont="1">
      <alignment readingOrder="0"/>
    </xf>
    <xf borderId="0" fillId="0" fontId="32" numFmtId="0" xfId="0" applyAlignment="1" applyFont="1">
      <alignment readingOrder="0"/>
    </xf>
    <xf borderId="0" fillId="0" fontId="33" numFmtId="171" xfId="0" applyFont="1" applyNumberFormat="1"/>
    <xf borderId="0" fillId="0" fontId="33" numFmtId="0" xfId="0" applyFont="1"/>
    <xf borderId="0" fillId="0" fontId="33" numFmtId="165" xfId="0" applyFont="1" applyNumberFormat="1"/>
    <xf borderId="0" fillId="0" fontId="2" numFmtId="175" xfId="0" applyFont="1" applyNumberFormat="1"/>
    <xf borderId="0" fillId="0" fontId="2" numFmtId="173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34" numFmtId="0" xfId="0" applyFont="1"/>
    <xf borderId="0" fillId="0" fontId="2" numFmtId="9" xfId="0" applyFont="1" applyNumberFormat="1"/>
    <xf borderId="0" fillId="15" fontId="2" numFmtId="0" xfId="0" applyAlignment="1" applyFill="1" applyFont="1">
      <alignment readingOrder="0"/>
    </xf>
    <xf borderId="0" fillId="15" fontId="2" numFmtId="0" xfId="0" applyFont="1"/>
    <xf borderId="0" fillId="0" fontId="34" numFmtId="0" xfId="0" applyAlignment="1" applyFont="1">
      <alignment readingOrder="0"/>
    </xf>
    <xf borderId="0" fillId="16" fontId="2" numFmtId="0" xfId="0" applyAlignment="1" applyFill="1" applyFont="1">
      <alignment readingOrder="0"/>
    </xf>
    <xf borderId="0" fillId="16" fontId="2" numFmtId="0" xfId="0" applyFont="1"/>
    <xf borderId="0" fillId="17" fontId="2" numFmtId="0" xfId="0" applyAlignment="1" applyFill="1" applyFont="1">
      <alignment readingOrder="0"/>
    </xf>
    <xf borderId="0" fillId="17" fontId="2" numFmtId="0" xfId="0" applyFont="1"/>
    <xf borderId="0" fillId="18" fontId="2" numFmtId="0" xfId="0" applyAlignment="1" applyFill="1" applyFont="1">
      <alignment readingOrder="0"/>
    </xf>
    <xf borderId="0" fillId="18" fontId="2" numFmtId="0" xfId="0" applyFont="1"/>
    <xf borderId="0" fillId="19" fontId="2" numFmtId="0" xfId="0" applyAlignment="1" applyFill="1" applyFont="1">
      <alignment readingOrder="0"/>
    </xf>
    <xf borderId="0" fillId="19" fontId="2" numFmtId="0" xfId="0" applyFont="1"/>
    <xf borderId="0" fillId="0" fontId="2" numFmtId="167" xfId="0" applyFont="1" applyNumberFormat="1"/>
    <xf borderId="0" fillId="0" fontId="2" numFmtId="14" xfId="0" applyFont="1" applyNumberFormat="1"/>
    <xf borderId="0" fillId="15" fontId="35" numFmtId="0" xfId="0" applyAlignment="1" applyFont="1">
      <alignment horizontal="center" readingOrder="0" vertical="center"/>
    </xf>
    <xf borderId="0" fillId="0" fontId="36" numFmtId="0" xfId="0" applyAlignment="1" applyFont="1">
      <alignment readingOrder="0"/>
    </xf>
    <xf borderId="0" fillId="0" fontId="30" numFmtId="0" xfId="0" applyFont="1"/>
    <xf borderId="0" fillId="3" fontId="10" numFmtId="164" xfId="0" applyAlignment="1" applyFont="1" applyNumberFormat="1">
      <alignment horizontal="right" readingOrder="0"/>
    </xf>
    <xf borderId="0" fillId="0" fontId="37" numFmtId="165" xfId="0" applyAlignment="1" applyFont="1" applyNumberFormat="1">
      <alignment horizontal="center" readingOrder="0" shrinkToFit="0" vertical="center" wrapText="1"/>
    </xf>
    <xf borderId="15" fillId="0" fontId="37" numFmtId="165" xfId="0" applyAlignment="1" applyBorder="1" applyFont="1" applyNumberFormat="1">
      <alignment horizontal="center" readingOrder="0" shrinkToFit="0" vertical="center" wrapText="1"/>
    </xf>
    <xf borderId="15" fillId="0" fontId="38" numFmtId="10" xfId="0" applyAlignment="1" applyBorder="1" applyFont="1" applyNumberFormat="1">
      <alignment horizontal="center" readingOrder="0" vertical="center"/>
    </xf>
    <xf borderId="0" fillId="3" fontId="10" numFmtId="164" xfId="0" applyAlignment="1" applyFont="1" applyNumberFormat="1">
      <alignment horizontal="right" readingOrder="0" shrinkToFit="0" wrapText="1"/>
    </xf>
    <xf borderId="15" fillId="0" fontId="38" numFmtId="165" xfId="0" applyAlignment="1" applyBorder="1" applyFont="1" applyNumberFormat="1">
      <alignment horizontal="center" readingOrder="0" vertical="center"/>
    </xf>
    <xf borderId="6" fillId="3" fontId="10" numFmtId="164" xfId="0" applyAlignment="1" applyBorder="1" applyFont="1" applyNumberFormat="1">
      <alignment horizontal="center" readingOrder="0"/>
    </xf>
    <xf borderId="6" fillId="0" fontId="2" numFmtId="0" xfId="0" applyBorder="1" applyFont="1"/>
    <xf borderId="0" fillId="0" fontId="34" numFmtId="165" xfId="0" applyAlignment="1" applyFont="1" applyNumberFormat="1">
      <alignment horizontal="center" readingOrder="0"/>
    </xf>
    <xf borderId="0" fillId="0" fontId="34" numFmtId="0" xfId="0" applyAlignment="1" applyFont="1">
      <alignment horizontal="center" readingOrder="0"/>
    </xf>
    <xf borderId="0" fillId="3" fontId="39" numFmtId="165" xfId="0" applyFont="1" applyNumberFormat="1"/>
    <xf borderId="0" fillId="3" fontId="10" numFmtId="164" xfId="0" applyAlignment="1" applyFont="1" applyNumberFormat="1">
      <alignment horizontal="center" readingOrder="0"/>
    </xf>
    <xf borderId="16" fillId="0" fontId="34" numFmtId="165" xfId="0" applyAlignment="1" applyBorder="1" applyFont="1" applyNumberFormat="1">
      <alignment horizontal="center" readingOrder="0" vertical="center"/>
    </xf>
    <xf borderId="17" fillId="0" fontId="2" numFmtId="0" xfId="0" applyBorder="1" applyFont="1"/>
    <xf borderId="17" fillId="0" fontId="34" numFmtId="165" xfId="0" applyAlignment="1" applyBorder="1" applyFont="1" applyNumberForma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0" fillId="0" fontId="34" numFmtId="0" xfId="0" applyAlignment="1" applyFont="1">
      <alignment horizontal="right" readingOrder="0"/>
    </xf>
    <xf borderId="0" fillId="0" fontId="34" numFmtId="165" xfId="0" applyAlignment="1" applyFont="1" applyNumberFormat="1">
      <alignment horizontal="right" readingOrder="0"/>
    </xf>
    <xf borderId="0" fillId="3" fontId="35" numFmtId="0" xfId="0" applyAlignment="1" applyFont="1">
      <alignment horizontal="center" readingOrder="0" vertical="center"/>
    </xf>
    <xf borderId="0" fillId="20" fontId="35" numFmtId="0" xfId="0" applyAlignment="1" applyFill="1" applyFont="1">
      <alignment horizontal="center" readingOrder="0" vertical="center"/>
    </xf>
    <xf borderId="6" fillId="0" fontId="10" numFmtId="164" xfId="0" applyAlignment="1" applyBorder="1" applyFont="1" applyNumberFormat="1">
      <alignment horizontal="center" readingOrder="0"/>
    </xf>
    <xf borderId="0" fillId="0" fontId="34" numFmtId="0" xfId="0" applyAlignment="1" applyFont="1">
      <alignment horizontal="center"/>
    </xf>
    <xf borderId="0" fillId="0" fontId="34" numFmtId="167" xfId="0" applyAlignment="1" applyFont="1" applyNumberFormat="1">
      <alignment horizontal="center" readingOrder="0"/>
    </xf>
    <xf borderId="0" fillId="0" fontId="40" numFmtId="0" xfId="0" applyAlignment="1" applyFont="1">
      <alignment horizontal="right"/>
    </xf>
    <xf borderId="0" fillId="0" fontId="34" numFmtId="0" xfId="0" applyAlignment="1" applyFont="1">
      <alignment horizontal="center" readingOrder="0" shrinkToFit="0" wrapText="1"/>
    </xf>
    <xf borderId="0" fillId="0" fontId="40" numFmtId="0" xfId="0" applyAlignment="1" applyFont="1">
      <alignment horizontal="left"/>
    </xf>
    <xf borderId="0" fillId="0" fontId="41" numFmtId="0" xfId="0" applyAlignment="1" applyFont="1">
      <alignment readingOrder="0"/>
    </xf>
    <xf borderId="9" fillId="0" fontId="10" numFmtId="164" xfId="0" applyAlignment="1" applyBorder="1" applyFont="1" applyNumberFormat="1">
      <alignment horizontal="right" readingOrder="0"/>
    </xf>
    <xf borderId="9" fillId="0" fontId="42" numFmtId="164" xfId="0" applyAlignment="1" applyBorder="1" applyFont="1" applyNumberFormat="1">
      <alignment horizontal="center" readingOrder="0"/>
    </xf>
    <xf borderId="0" fillId="3" fontId="39" numFmtId="0" xfId="0" applyFont="1"/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6AA84F"/>
      </font>
      <fill>
        <patternFill patternType="solid">
          <fgColor rgb="FFB7E1CD"/>
          <bgColor rgb="FFB7E1CD"/>
        </patternFill>
      </fill>
      <border/>
    </dxf>
    <dxf>
      <font>
        <color rgb="FFF3F3F3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none"/>
      </fill>
      <border/>
    </dxf>
    <dxf>
      <font>
        <color rgb="FFEFEFEF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'Hidden list and Figures'!$C$16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val>
            <c:numRef>
              <c:f>'Hidden list and Figures'!$D$16</c:f>
              <c:numCache/>
            </c:numRef>
          </c:val>
        </c:ser>
        <c:ser>
          <c:idx val="1"/>
          <c:order val="1"/>
          <c:tx>
            <c:strRef>
              <c:f>'Hidden list and Figures'!$C$17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val>
            <c:numRef>
              <c:f>'Hidden list and Figures'!$D$17</c:f>
              <c:numCache/>
            </c:numRef>
          </c:val>
        </c:ser>
        <c:overlap val="100"/>
        <c:axId val="884316744"/>
        <c:axId val="298987077"/>
      </c:barChart>
      <c:catAx>
        <c:axId val="884316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8987077"/>
      </c:catAx>
      <c:valAx>
        <c:axId val="298987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884316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'Hidden list and Figures'!$C$16</c:f>
            </c:strRef>
          </c:tx>
          <c:spPr>
            <a:solidFill>
              <a:srgbClr val="4C1130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'Hidden list and Figures'!$D$16</c:f>
              <c:numCache/>
            </c:numRef>
          </c:val>
        </c:ser>
        <c:ser>
          <c:idx val="1"/>
          <c:order val="1"/>
          <c:tx>
            <c:strRef>
              <c:f>'Hidden list and Figures'!$C$17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val>
            <c:numRef>
              <c:f>'Hidden list and Figures'!$D$17</c:f>
              <c:numCache/>
            </c:numRef>
          </c:val>
        </c:ser>
        <c:overlap val="100"/>
        <c:axId val="1647287958"/>
        <c:axId val="736897836"/>
      </c:barChart>
      <c:catAx>
        <c:axId val="1647287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6897836"/>
      </c:catAx>
      <c:valAx>
        <c:axId val="736897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647287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20</xdr:row>
      <xdr:rowOff>57150</xdr:rowOff>
    </xdr:from>
    <xdr:ext cx="1266825" cy="781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15</xdr:row>
      <xdr:rowOff>142875</xdr:rowOff>
    </xdr:from>
    <xdr:ext cx="3095625" cy="2133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hyperlink" Target="http://amazon.com" TargetMode="External"/><Relationship Id="rId3" Type="http://schemas.openxmlformats.org/officeDocument/2006/relationships/hyperlink" Target="http://amazon.com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hyperlink" Target="http://amazon.com" TargetMode="External"/><Relationship Id="rId6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mazon.com" TargetMode="External"/><Relationship Id="rId4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hyperlink" Target="http://amazon.com" TargetMode="External"/><Relationship Id="rId3" Type="http://schemas.openxmlformats.org/officeDocument/2006/relationships/hyperlink" Target="http://amazon.com" TargetMode="External"/><Relationship Id="rId4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0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2500.0</v>
      </c>
      <c r="C6" s="16">
        <f t="shared" ref="C6:C11" si="1">sumif($B$20:$C$100,A6,$C$20:$C$100)</f>
        <v>2663.68</v>
      </c>
      <c r="D6" s="17">
        <f t="shared" ref="D6:D15" si="2">B6-C6</f>
        <v>-163.68</v>
      </c>
      <c r="E6" s="18">
        <f t="shared" ref="E6:E16" si="3">D6/B6</f>
        <v>-0.065472</v>
      </c>
      <c r="G6" s="19" t="s">
        <v>11</v>
      </c>
      <c r="H6" s="14">
        <f>'MartinRachel Pay Stub'!B20*2</f>
        <v>3851.86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14">
        <f>'MartinRachel Pay Stub'!E20*2</f>
        <v>5429.1</v>
      </c>
    </row>
    <row r="8">
      <c r="A8" s="21" t="s">
        <v>14</v>
      </c>
      <c r="B8" s="22">
        <v>250.0</v>
      </c>
      <c r="C8" s="22">
        <f t="shared" si="1"/>
        <v>413.77</v>
      </c>
      <c r="D8" s="23">
        <f t="shared" si="2"/>
        <v>-163.77</v>
      </c>
      <c r="E8" s="18">
        <f t="shared" si="3"/>
        <v>-0.65508</v>
      </c>
      <c r="H8" s="14"/>
    </row>
    <row r="9">
      <c r="A9" s="24" t="s">
        <v>15</v>
      </c>
      <c r="B9" s="22">
        <v>400.0</v>
      </c>
      <c r="C9" s="22">
        <f t="shared" si="1"/>
        <v>925.9</v>
      </c>
      <c r="D9" s="23">
        <f t="shared" si="2"/>
        <v>-525.9</v>
      </c>
      <c r="E9" s="18">
        <f t="shared" si="3"/>
        <v>-1.31475</v>
      </c>
      <c r="G9" s="13" t="s">
        <v>16</v>
      </c>
      <c r="H9" s="14"/>
    </row>
    <row r="10">
      <c r="A10" s="24" t="s">
        <v>17</v>
      </c>
      <c r="B10" s="22">
        <v>400.0</v>
      </c>
      <c r="C10" s="22">
        <f t="shared" si="1"/>
        <v>331.56</v>
      </c>
      <c r="D10" s="23">
        <f t="shared" si="2"/>
        <v>68.44</v>
      </c>
      <c r="E10" s="18">
        <f t="shared" si="3"/>
        <v>0.1711</v>
      </c>
      <c r="G10" s="19" t="s">
        <v>18</v>
      </c>
      <c r="H10" s="14">
        <f>sum(C16)</f>
        <v>5549.63</v>
      </c>
    </row>
    <row r="11">
      <c r="A11" s="22" t="s">
        <v>19</v>
      </c>
      <c r="B11" s="22">
        <v>200.0</v>
      </c>
      <c r="C11" s="22">
        <f t="shared" si="1"/>
        <v>207.32</v>
      </c>
      <c r="D11" s="23">
        <f t="shared" si="2"/>
        <v>-7.32</v>
      </c>
      <c r="E11" s="18">
        <f t="shared" si="3"/>
        <v>-0.0366</v>
      </c>
      <c r="H11" s="14"/>
    </row>
    <row r="12">
      <c r="A12" s="24" t="s">
        <v>20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G12" s="13" t="s">
        <v>21</v>
      </c>
      <c r="H12" s="14"/>
    </row>
    <row r="13">
      <c r="A13" s="25" t="s">
        <v>22</v>
      </c>
      <c r="B13" s="22">
        <v>200.0</v>
      </c>
      <c r="C13" s="22">
        <f>sumif($B$20:$C$100,A13,$C$20:$C$100)</f>
        <v>180.55</v>
      </c>
      <c r="D13" s="23">
        <f t="shared" si="2"/>
        <v>19.45</v>
      </c>
      <c r="E13" s="18">
        <f t="shared" si="3"/>
        <v>0.09725</v>
      </c>
      <c r="G13" s="19" t="s">
        <v>23</v>
      </c>
      <c r="H13" s="14"/>
    </row>
    <row r="14">
      <c r="A14" s="26" t="s">
        <v>24</v>
      </c>
      <c r="B14" s="27">
        <v>0.0</v>
      </c>
      <c r="C14" s="27"/>
      <c r="D14" s="23">
        <f t="shared" si="2"/>
        <v>0</v>
      </c>
      <c r="E14" s="18" t="str">
        <f t="shared" si="3"/>
        <v>#DIV/0!</v>
      </c>
      <c r="H14" s="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>sumif($B$20:$C$100,A15,$C$20:$C$100)</f>
        <v>326.85</v>
      </c>
      <c r="D15" s="28">
        <f t="shared" si="2"/>
        <v>-26.85</v>
      </c>
      <c r="E15" s="18">
        <f t="shared" si="3"/>
        <v>-0.0895</v>
      </c>
      <c r="G15" s="13" t="s">
        <v>26</v>
      </c>
      <c r="H15" s="29">
        <v>0.0</v>
      </c>
      <c r="I15" s="6"/>
      <c r="J15" s="6"/>
      <c r="K15" s="6"/>
      <c r="L15" s="6"/>
      <c r="M15" s="6"/>
    </row>
    <row r="16">
      <c r="A16" s="30" t="s">
        <v>27</v>
      </c>
      <c r="B16" s="31">
        <f t="shared" ref="B16:D16" si="4">SUM(B6:B15)</f>
        <v>4750</v>
      </c>
      <c r="C16" s="31">
        <f t="shared" si="4"/>
        <v>5549.63</v>
      </c>
      <c r="D16" s="31">
        <f t="shared" si="4"/>
        <v>-799.63</v>
      </c>
      <c r="E16" s="18">
        <f t="shared" si="3"/>
        <v>-0.1683431579</v>
      </c>
      <c r="F16" s="32"/>
      <c r="G16" s="13" t="s">
        <v>28</v>
      </c>
      <c r="H16" s="33">
        <f>500-SUMIF($B$20:$C$122,A12,$C$20:$C$122)+'July 2023 '!H15</f>
        <v>500</v>
      </c>
      <c r="I16" s="34"/>
      <c r="J16" s="34"/>
      <c r="K16" s="34"/>
      <c r="L16" s="34"/>
      <c r="M16" s="34"/>
    </row>
    <row r="17">
      <c r="A17" s="35"/>
      <c r="B17" s="36"/>
      <c r="C17" s="36"/>
      <c r="D17" s="37"/>
      <c r="E17" s="37"/>
      <c r="F17" s="36"/>
      <c r="G17" s="35"/>
      <c r="H17" s="35"/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2060.0</v>
      </c>
      <c r="D20" s="41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55.0</v>
      </c>
      <c r="D21" s="41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71.64</v>
      </c>
      <c r="D22" s="41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129.33</v>
      </c>
      <c r="D23" s="41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 t="s">
        <v>37</v>
      </c>
      <c r="D24" s="41" t="s">
        <v>38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1133.34/6</f>
        <v>188.89</v>
      </c>
      <c r="D25" s="41" t="s">
        <v>23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2.87</v>
      </c>
      <c r="D26" s="41" t="s">
        <v>39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1.99</v>
      </c>
      <c r="D27" s="41" t="s">
        <v>40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5.83</v>
      </c>
      <c r="D28" s="41" t="s">
        <v>41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148.13</v>
      </c>
      <c r="D29" s="41" t="s">
        <v>42</v>
      </c>
      <c r="E29" s="41"/>
      <c r="G29" s="42"/>
      <c r="H29" s="42"/>
      <c r="I29" s="42"/>
      <c r="J29" s="42"/>
      <c r="K29" s="42"/>
      <c r="L29" s="42"/>
      <c r="M29" s="42"/>
    </row>
    <row r="30">
      <c r="A30" s="43"/>
      <c r="B30" s="40"/>
      <c r="C30" s="41"/>
      <c r="D30" s="41"/>
      <c r="E30" s="41"/>
      <c r="G30" s="42"/>
      <c r="H30" s="42"/>
      <c r="I30" s="42"/>
      <c r="J30" s="42"/>
      <c r="K30" s="42"/>
      <c r="L30" s="42"/>
      <c r="M30" s="42"/>
    </row>
    <row r="31">
      <c r="A31" s="43"/>
      <c r="B31" s="40"/>
      <c r="C31" s="41"/>
      <c r="D31" s="41"/>
      <c r="E31" s="41"/>
      <c r="G31" s="42"/>
      <c r="H31" s="42"/>
      <c r="I31" s="42"/>
      <c r="J31" s="42"/>
      <c r="K31" s="42"/>
      <c r="L31" s="42"/>
      <c r="M31" s="42"/>
    </row>
    <row r="32">
      <c r="A32" s="44">
        <v>45110.0</v>
      </c>
      <c r="B32" s="40" t="s">
        <v>14</v>
      </c>
      <c r="C32" s="41">
        <v>328.24</v>
      </c>
      <c r="D32" s="41" t="s">
        <v>43</v>
      </c>
      <c r="E32" s="41"/>
      <c r="G32" s="42"/>
      <c r="H32" s="42"/>
      <c r="I32" s="42"/>
      <c r="J32" s="42"/>
      <c r="K32" s="42"/>
      <c r="L32" s="42"/>
      <c r="M32" s="42"/>
    </row>
    <row r="33">
      <c r="A33" s="44">
        <v>45110.0</v>
      </c>
      <c r="B33" s="40" t="s">
        <v>19</v>
      </c>
      <c r="C33" s="41">
        <v>90.28</v>
      </c>
      <c r="D33" s="41" t="s">
        <v>44</v>
      </c>
      <c r="E33" s="41"/>
      <c r="G33" s="42"/>
      <c r="H33" s="42"/>
      <c r="I33" s="42"/>
      <c r="J33" s="42"/>
      <c r="K33" s="42"/>
      <c r="L33" s="42"/>
      <c r="M33" s="42"/>
    </row>
    <row r="34">
      <c r="A34" s="44">
        <v>45110.0</v>
      </c>
      <c r="B34" s="40" t="s">
        <v>19</v>
      </c>
      <c r="C34" s="41">
        <v>2.89</v>
      </c>
      <c r="D34" s="41" t="s">
        <v>45</v>
      </c>
      <c r="E34" s="41"/>
      <c r="G34" s="42"/>
      <c r="H34" s="42"/>
      <c r="I34" s="42"/>
      <c r="J34" s="42"/>
      <c r="K34" s="42"/>
      <c r="L34" s="42"/>
      <c r="M34" s="42"/>
    </row>
    <row r="35">
      <c r="A35" s="44">
        <v>45110.0</v>
      </c>
      <c r="B35" s="40" t="s">
        <v>22</v>
      </c>
      <c r="C35" s="41">
        <v>30.0</v>
      </c>
      <c r="D35" s="41" t="s">
        <v>46</v>
      </c>
      <c r="E35" s="41"/>
      <c r="G35" s="42"/>
      <c r="H35" s="42"/>
      <c r="I35" s="42"/>
      <c r="J35" s="42"/>
      <c r="K35" s="42"/>
      <c r="L35" s="42"/>
      <c r="M35" s="42"/>
    </row>
    <row r="36">
      <c r="A36" s="44">
        <v>45110.0</v>
      </c>
      <c r="B36" s="40" t="s">
        <v>15</v>
      </c>
      <c r="C36" s="41">
        <v>101.32</v>
      </c>
      <c r="D36" s="41" t="s">
        <v>47</v>
      </c>
      <c r="E36" s="41"/>
      <c r="G36" s="42"/>
      <c r="H36" s="42"/>
      <c r="I36" s="42"/>
      <c r="J36" s="42"/>
      <c r="K36" s="42"/>
      <c r="L36" s="42"/>
      <c r="M36" s="42"/>
    </row>
    <row r="37">
      <c r="A37" s="44">
        <v>45110.0</v>
      </c>
      <c r="B37" s="40" t="s">
        <v>17</v>
      </c>
      <c r="C37" s="41">
        <v>123.24</v>
      </c>
      <c r="D37" s="41" t="s">
        <v>48</v>
      </c>
      <c r="E37" s="41"/>
      <c r="G37" s="42"/>
      <c r="H37" s="42"/>
      <c r="I37" s="42"/>
      <c r="J37" s="42"/>
      <c r="K37" s="42"/>
      <c r="L37" s="42"/>
      <c r="M37" s="42"/>
    </row>
    <row r="38">
      <c r="A38" s="44">
        <v>45109.0</v>
      </c>
      <c r="B38" s="40" t="s">
        <v>15</v>
      </c>
      <c r="C38" s="41">
        <v>119.31</v>
      </c>
      <c r="D38" s="41" t="s">
        <v>49</v>
      </c>
      <c r="E38" s="41"/>
      <c r="G38" s="42"/>
      <c r="H38" s="42"/>
      <c r="I38" s="42"/>
      <c r="J38" s="42"/>
      <c r="K38" s="42"/>
      <c r="L38" s="42"/>
      <c r="M38" s="42"/>
    </row>
    <row r="39">
      <c r="A39" s="44">
        <v>45108.0</v>
      </c>
      <c r="B39" s="40" t="s">
        <v>17</v>
      </c>
      <c r="C39" s="41">
        <v>4.87</v>
      </c>
      <c r="D39" s="41" t="s">
        <v>50</v>
      </c>
      <c r="E39" s="41"/>
      <c r="G39" s="42"/>
      <c r="H39" s="42"/>
      <c r="I39" s="42"/>
      <c r="J39" s="42"/>
      <c r="K39" s="42"/>
      <c r="L39" s="42"/>
      <c r="M39" s="42"/>
    </row>
    <row r="40">
      <c r="A40" s="44">
        <v>45112.0</v>
      </c>
      <c r="B40" s="40" t="s">
        <v>25</v>
      </c>
      <c r="C40" s="41">
        <v>108.0</v>
      </c>
      <c r="D40" s="41" t="s">
        <v>51</v>
      </c>
      <c r="E40" s="41"/>
      <c r="G40" s="42"/>
      <c r="H40" s="42"/>
      <c r="I40" s="42"/>
      <c r="J40" s="42"/>
      <c r="K40" s="42"/>
      <c r="L40" s="42"/>
      <c r="M40" s="42"/>
    </row>
    <row r="41">
      <c r="A41" s="44">
        <v>45115.0</v>
      </c>
      <c r="B41" s="40" t="s">
        <v>25</v>
      </c>
      <c r="C41" s="41">
        <v>103.97</v>
      </c>
      <c r="D41" s="41" t="s">
        <v>52</v>
      </c>
      <c r="E41" s="41"/>
      <c r="G41" s="42"/>
      <c r="H41" s="42"/>
      <c r="I41" s="42"/>
      <c r="J41" s="42"/>
      <c r="K41" s="42"/>
      <c r="L41" s="42"/>
      <c r="M41" s="42"/>
    </row>
    <row r="42">
      <c r="A42" s="44">
        <v>45115.0</v>
      </c>
      <c r="B42" s="40" t="s">
        <v>15</v>
      </c>
      <c r="C42" s="41">
        <v>124.75</v>
      </c>
      <c r="D42" s="41" t="s">
        <v>47</v>
      </c>
      <c r="E42" s="41"/>
      <c r="G42" s="42"/>
      <c r="H42" s="42"/>
      <c r="I42" s="42"/>
      <c r="J42" s="42"/>
      <c r="K42" s="42"/>
      <c r="L42" s="42"/>
      <c r="M42" s="42"/>
    </row>
    <row r="43">
      <c r="A43" s="44">
        <v>45115.0</v>
      </c>
      <c r="B43" s="40" t="s">
        <v>17</v>
      </c>
      <c r="C43" s="41">
        <v>11.52</v>
      </c>
      <c r="D43" s="41" t="s">
        <v>53</v>
      </c>
      <c r="E43" s="41"/>
      <c r="G43" s="42"/>
      <c r="H43" s="42"/>
      <c r="I43" s="42"/>
      <c r="J43" s="42"/>
      <c r="K43" s="42"/>
      <c r="L43" s="42"/>
      <c r="M43" s="42"/>
    </row>
    <row r="44">
      <c r="A44" s="44">
        <v>45116.0</v>
      </c>
      <c r="B44" s="40" t="s">
        <v>22</v>
      </c>
      <c r="C44" s="41">
        <v>45.61</v>
      </c>
      <c r="D44" s="41" t="s">
        <v>54</v>
      </c>
      <c r="E44" s="41"/>
      <c r="G44" s="42"/>
      <c r="H44" s="42"/>
      <c r="I44" s="42"/>
      <c r="J44" s="42"/>
      <c r="K44" s="42"/>
      <c r="L44" s="42"/>
      <c r="M44" s="42"/>
    </row>
    <row r="45">
      <c r="A45" s="44">
        <v>45116.0</v>
      </c>
      <c r="B45" s="40" t="s">
        <v>15</v>
      </c>
      <c r="C45" s="41">
        <v>26.4</v>
      </c>
      <c r="D45" s="41" t="s">
        <v>55</v>
      </c>
      <c r="E45" s="41"/>
      <c r="G45" s="42"/>
      <c r="H45" s="42"/>
      <c r="I45" s="42"/>
      <c r="J45" s="42"/>
      <c r="K45" s="42"/>
      <c r="L45" s="42"/>
      <c r="M45" s="42"/>
    </row>
    <row r="46">
      <c r="A46" s="44">
        <v>45119.0</v>
      </c>
      <c r="B46" s="40" t="s">
        <v>19</v>
      </c>
      <c r="C46" s="41">
        <v>17.2</v>
      </c>
      <c r="D46" s="41" t="s">
        <v>56</v>
      </c>
      <c r="E46" s="41"/>
      <c r="G46" s="42"/>
      <c r="H46" s="42"/>
      <c r="I46" s="42"/>
      <c r="J46" s="42"/>
      <c r="K46" s="42"/>
      <c r="L46" s="42"/>
      <c r="M46" s="42"/>
    </row>
    <row r="47">
      <c r="A47" s="44">
        <v>45119.0</v>
      </c>
      <c r="B47" s="40" t="s">
        <v>15</v>
      </c>
      <c r="C47" s="41">
        <v>62.34</v>
      </c>
      <c r="D47" s="41" t="s">
        <v>57</v>
      </c>
      <c r="E47" s="41"/>
      <c r="G47" s="42"/>
      <c r="H47" s="42"/>
      <c r="I47" s="42"/>
      <c r="J47" s="42"/>
      <c r="K47" s="42"/>
      <c r="L47" s="42"/>
      <c r="M47" s="42"/>
    </row>
    <row r="48">
      <c r="A48" s="44">
        <v>45119.0</v>
      </c>
      <c r="B48" s="40" t="s">
        <v>25</v>
      </c>
      <c r="C48" s="41">
        <v>12.32</v>
      </c>
      <c r="D48" s="41" t="s">
        <v>58</v>
      </c>
      <c r="E48" s="41"/>
      <c r="G48" s="42"/>
      <c r="H48" s="42"/>
      <c r="I48" s="42"/>
      <c r="J48" s="42"/>
      <c r="K48" s="42"/>
      <c r="L48" s="42"/>
      <c r="M48" s="42"/>
    </row>
    <row r="49">
      <c r="A49" s="44">
        <v>45122.0</v>
      </c>
      <c r="B49" s="40" t="s">
        <v>15</v>
      </c>
      <c r="C49" s="41">
        <v>147.09</v>
      </c>
      <c r="D49" s="41" t="s">
        <v>47</v>
      </c>
      <c r="E49" s="41"/>
      <c r="G49" s="42"/>
      <c r="H49" s="42"/>
      <c r="I49" s="42"/>
      <c r="J49" s="42"/>
      <c r="K49" s="42"/>
      <c r="L49" s="42"/>
      <c r="M49" s="42"/>
    </row>
    <row r="50">
      <c r="A50" s="44">
        <v>45123.0</v>
      </c>
      <c r="B50" s="40" t="s">
        <v>15</v>
      </c>
      <c r="C50" s="41">
        <v>43.46</v>
      </c>
      <c r="D50" s="41" t="s">
        <v>59</v>
      </c>
      <c r="E50" s="41"/>
      <c r="G50" s="42"/>
      <c r="H50" s="42"/>
      <c r="I50" s="42"/>
      <c r="J50" s="42"/>
      <c r="K50" s="42"/>
      <c r="L50" s="42"/>
      <c r="M50" s="42"/>
    </row>
    <row r="51">
      <c r="A51" s="44">
        <v>45121.0</v>
      </c>
      <c r="B51" s="40" t="s">
        <v>15</v>
      </c>
      <c r="C51" s="41">
        <v>17.16</v>
      </c>
      <c r="D51" s="41" t="s">
        <v>60</v>
      </c>
      <c r="E51" s="41"/>
      <c r="G51" s="42"/>
      <c r="H51" s="42"/>
      <c r="I51" s="42"/>
      <c r="J51" s="42"/>
      <c r="K51" s="42"/>
      <c r="L51" s="42"/>
      <c r="M51" s="42"/>
    </row>
    <row r="52">
      <c r="A52" s="44">
        <v>45122.0</v>
      </c>
      <c r="B52" s="40" t="s">
        <v>17</v>
      </c>
      <c r="C52" s="41">
        <v>16.0</v>
      </c>
      <c r="D52" s="41" t="s">
        <v>61</v>
      </c>
      <c r="E52" s="41"/>
      <c r="G52" s="42"/>
      <c r="H52" s="42"/>
      <c r="I52" s="42"/>
      <c r="J52" s="42"/>
      <c r="K52" s="42"/>
      <c r="L52" s="42"/>
      <c r="M52" s="42"/>
    </row>
    <row r="53">
      <c r="A53" s="44">
        <v>45123.0</v>
      </c>
      <c r="B53" s="40" t="s">
        <v>17</v>
      </c>
      <c r="C53" s="41">
        <v>19.0</v>
      </c>
      <c r="D53" s="41" t="s">
        <v>62</v>
      </c>
      <c r="E53" s="41"/>
      <c r="G53" s="42"/>
      <c r="H53" s="42"/>
      <c r="I53" s="42"/>
      <c r="J53" s="42"/>
      <c r="K53" s="42"/>
      <c r="L53" s="42"/>
      <c r="M53" s="42"/>
    </row>
    <row r="54">
      <c r="A54" s="44">
        <v>45123.0</v>
      </c>
      <c r="B54" s="40" t="s">
        <v>17</v>
      </c>
      <c r="C54" s="41">
        <v>5.0</v>
      </c>
      <c r="D54" s="41" t="s">
        <v>63</v>
      </c>
      <c r="E54" s="41"/>
      <c r="G54" s="42"/>
      <c r="H54" s="42"/>
      <c r="I54" s="42"/>
      <c r="J54" s="42"/>
      <c r="K54" s="42"/>
      <c r="L54" s="42"/>
      <c r="M54" s="42"/>
    </row>
    <row r="55">
      <c r="A55" s="44">
        <v>45123.0</v>
      </c>
      <c r="B55" s="40" t="s">
        <v>15</v>
      </c>
      <c r="C55" s="41">
        <v>9.57</v>
      </c>
      <c r="D55" s="41" t="s">
        <v>64</v>
      </c>
      <c r="E55" s="41"/>
      <c r="G55" s="42"/>
      <c r="H55" s="42"/>
      <c r="I55" s="42"/>
      <c r="J55" s="42"/>
      <c r="K55" s="42"/>
      <c r="L55" s="42"/>
      <c r="M55" s="42"/>
    </row>
    <row r="56">
      <c r="A56" s="44">
        <v>45126.0</v>
      </c>
      <c r="B56" s="40" t="s">
        <v>22</v>
      </c>
      <c r="C56" s="41">
        <v>51.33</v>
      </c>
      <c r="D56" s="41" t="s">
        <v>65</v>
      </c>
      <c r="E56" s="41"/>
      <c r="G56" s="42"/>
      <c r="H56" s="42"/>
      <c r="I56" s="42"/>
      <c r="J56" s="42"/>
      <c r="K56" s="42"/>
      <c r="L56" s="42"/>
      <c r="M56" s="42"/>
    </row>
    <row r="57">
      <c r="A57" s="44">
        <v>45127.0</v>
      </c>
      <c r="B57" s="40" t="s">
        <v>14</v>
      </c>
      <c r="C57" s="41">
        <v>66.0</v>
      </c>
      <c r="D57" s="41" t="s">
        <v>66</v>
      </c>
      <c r="E57" s="41"/>
      <c r="G57" s="42"/>
      <c r="H57" s="42"/>
      <c r="I57" s="42"/>
      <c r="J57" s="42"/>
      <c r="K57" s="42"/>
      <c r="L57" s="42"/>
      <c r="M57" s="42"/>
    </row>
    <row r="58">
      <c r="A58" s="44">
        <v>45128.0</v>
      </c>
      <c r="B58" s="40" t="s">
        <v>25</v>
      </c>
      <c r="C58" s="41">
        <v>41.74</v>
      </c>
      <c r="D58" s="41" t="s">
        <v>67</v>
      </c>
      <c r="E58" s="41"/>
      <c r="G58" s="42"/>
      <c r="H58" s="42"/>
      <c r="I58" s="42"/>
      <c r="J58" s="42"/>
      <c r="K58" s="42"/>
      <c r="L58" s="42"/>
      <c r="M58" s="42"/>
    </row>
    <row r="59">
      <c r="A59" s="44">
        <v>45129.0</v>
      </c>
      <c r="B59" s="40" t="s">
        <v>25</v>
      </c>
      <c r="C59" s="41">
        <v>38.82</v>
      </c>
      <c r="D59" s="41" t="s">
        <v>68</v>
      </c>
      <c r="E59" s="41"/>
      <c r="G59" s="42"/>
      <c r="H59" s="42"/>
      <c r="I59" s="42"/>
      <c r="J59" s="42"/>
      <c r="K59" s="42"/>
      <c r="L59" s="42"/>
      <c r="M59" s="42"/>
    </row>
    <row r="60">
      <c r="A60" s="44">
        <v>45129.0</v>
      </c>
      <c r="B60" s="40" t="s">
        <v>15</v>
      </c>
      <c r="C60" s="41">
        <v>104.0</v>
      </c>
      <c r="D60" s="41" t="s">
        <v>47</v>
      </c>
      <c r="E60" s="41"/>
      <c r="G60" s="42"/>
      <c r="H60" s="42"/>
      <c r="I60" s="42"/>
      <c r="J60" s="42"/>
      <c r="K60" s="42"/>
      <c r="L60" s="42"/>
      <c r="M60" s="42"/>
    </row>
    <row r="61">
      <c r="A61" s="44">
        <v>45130.0</v>
      </c>
      <c r="B61" s="40" t="s">
        <v>17</v>
      </c>
      <c r="C61" s="41">
        <v>64.0</v>
      </c>
      <c r="D61" s="41" t="s">
        <v>69</v>
      </c>
      <c r="E61" s="41"/>
      <c r="G61" s="42"/>
      <c r="H61" s="42"/>
      <c r="I61" s="42"/>
      <c r="J61" s="42"/>
      <c r="K61" s="42"/>
      <c r="L61" s="42"/>
      <c r="M61" s="42"/>
    </row>
    <row r="62">
      <c r="A62" s="44">
        <v>45129.0</v>
      </c>
      <c r="B62" s="40" t="s">
        <v>22</v>
      </c>
      <c r="C62" s="41">
        <v>29.82</v>
      </c>
      <c r="D62" s="41" t="s">
        <v>70</v>
      </c>
      <c r="E62" s="41"/>
      <c r="G62" s="42"/>
      <c r="H62" s="42"/>
      <c r="I62" s="42"/>
      <c r="J62" s="42"/>
      <c r="K62" s="42"/>
      <c r="L62" s="42"/>
      <c r="M62" s="42"/>
    </row>
    <row r="63">
      <c r="A63" s="44">
        <v>45130.0</v>
      </c>
      <c r="B63" s="40" t="s">
        <v>15</v>
      </c>
      <c r="C63" s="41">
        <v>15.89</v>
      </c>
      <c r="D63" s="41" t="s">
        <v>71</v>
      </c>
      <c r="E63" s="41"/>
      <c r="G63" s="42"/>
      <c r="H63" s="42"/>
      <c r="I63" s="42"/>
      <c r="J63" s="42"/>
      <c r="K63" s="42"/>
      <c r="L63" s="42"/>
      <c r="M63" s="42"/>
    </row>
    <row r="64">
      <c r="A64" s="44">
        <v>45134.0</v>
      </c>
      <c r="B64" s="40" t="s">
        <v>22</v>
      </c>
      <c r="C64" s="41">
        <v>23.79</v>
      </c>
      <c r="D64" s="41" t="s">
        <v>54</v>
      </c>
      <c r="E64" s="41"/>
      <c r="G64" s="42"/>
      <c r="H64" s="42"/>
      <c r="I64" s="42"/>
      <c r="J64" s="42"/>
      <c r="K64" s="42"/>
      <c r="L64" s="42"/>
      <c r="M64" s="42"/>
    </row>
    <row r="65">
      <c r="A65" s="44">
        <v>45137.0</v>
      </c>
      <c r="B65" s="40" t="s">
        <v>15</v>
      </c>
      <c r="C65" s="41">
        <v>54.61</v>
      </c>
      <c r="D65" s="41" t="s">
        <v>71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45137.0</v>
      </c>
      <c r="B66" s="40" t="s">
        <v>17</v>
      </c>
      <c r="C66" s="41">
        <v>18.0</v>
      </c>
      <c r="D66" s="41" t="s">
        <v>61</v>
      </c>
      <c r="E66" s="41"/>
      <c r="G66" s="42"/>
      <c r="H66" s="42"/>
      <c r="I66" s="42"/>
      <c r="J66" s="42"/>
      <c r="K66" s="42"/>
      <c r="L66" s="42"/>
      <c r="M66" s="42"/>
    </row>
    <row r="67">
      <c r="A67" s="44">
        <v>45136.0</v>
      </c>
      <c r="B67" s="40" t="s">
        <v>25</v>
      </c>
      <c r="C67" s="41">
        <v>22.0</v>
      </c>
      <c r="D67" s="41" t="s">
        <v>72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45137.0</v>
      </c>
      <c r="B68" s="40" t="s">
        <v>14</v>
      </c>
      <c r="C68" s="41">
        <v>19.53</v>
      </c>
      <c r="D68" s="41" t="s">
        <v>73</v>
      </c>
      <c r="E68" s="41"/>
      <c r="G68" s="42"/>
      <c r="H68" s="42"/>
      <c r="I68" s="42"/>
      <c r="J68" s="42"/>
      <c r="K68" s="42"/>
      <c r="L68" s="42"/>
      <c r="M68" s="42"/>
    </row>
    <row r="69">
      <c r="A69" s="44">
        <v>45136.0</v>
      </c>
      <c r="B69" s="40" t="s">
        <v>17</v>
      </c>
      <c r="C69" s="41">
        <v>11.64</v>
      </c>
      <c r="D69" s="41" t="s">
        <v>74</v>
      </c>
      <c r="E69" s="41"/>
      <c r="G69" s="42"/>
      <c r="H69" s="42"/>
      <c r="I69" s="42"/>
      <c r="J69" s="42"/>
      <c r="K69" s="42"/>
      <c r="L69" s="42"/>
      <c r="M69" s="42"/>
    </row>
    <row r="70">
      <c r="A70" s="44">
        <v>45136.0</v>
      </c>
      <c r="B70" s="40" t="s">
        <v>75</v>
      </c>
      <c r="C70" s="41">
        <v>24.28</v>
      </c>
      <c r="D70" s="41" t="s">
        <v>74</v>
      </c>
      <c r="E70" s="41"/>
      <c r="G70" s="42"/>
      <c r="H70" s="42"/>
      <c r="I70" s="42"/>
      <c r="J70" s="42"/>
      <c r="K70" s="42"/>
      <c r="L70" s="42"/>
      <c r="M70" s="42"/>
    </row>
    <row r="71">
      <c r="A71" s="44">
        <v>45136.0</v>
      </c>
      <c r="B71" s="40" t="s">
        <v>17</v>
      </c>
      <c r="C71" s="41">
        <v>16.61</v>
      </c>
      <c r="D71" s="41" t="s">
        <v>76</v>
      </c>
      <c r="E71" s="41"/>
      <c r="G71" s="42"/>
      <c r="H71" s="42"/>
      <c r="I71" s="42"/>
      <c r="J71" s="42"/>
      <c r="K71" s="42"/>
      <c r="L71" s="42"/>
      <c r="M71" s="42"/>
    </row>
    <row r="72">
      <c r="A72" s="44">
        <v>45137.0</v>
      </c>
      <c r="B72" s="40" t="s">
        <v>15</v>
      </c>
      <c r="C72" s="41">
        <v>100.0</v>
      </c>
      <c r="D72" s="41" t="s">
        <v>47</v>
      </c>
      <c r="E72" s="41"/>
      <c r="G72" s="42"/>
      <c r="H72" s="42"/>
      <c r="I72" s="42"/>
      <c r="J72" s="42"/>
      <c r="K72" s="42"/>
      <c r="L72" s="42"/>
      <c r="M72" s="42"/>
    </row>
    <row r="73">
      <c r="A73" s="44">
        <v>45137.0</v>
      </c>
      <c r="B73" s="40" t="s">
        <v>19</v>
      </c>
      <c r="C73" s="41">
        <v>96.95</v>
      </c>
      <c r="D73" s="41" t="s">
        <v>47</v>
      </c>
      <c r="E73" s="41"/>
      <c r="G73" s="42"/>
      <c r="H73" s="42"/>
      <c r="I73" s="42"/>
      <c r="J73" s="42"/>
      <c r="K73" s="42"/>
      <c r="L73" s="42"/>
      <c r="M73" s="42"/>
    </row>
    <row r="74">
      <c r="A74" s="44">
        <v>45138.0</v>
      </c>
      <c r="B74" s="40" t="s">
        <v>17</v>
      </c>
      <c r="C74" s="41">
        <v>17.4</v>
      </c>
      <c r="D74" s="41" t="s">
        <v>77</v>
      </c>
      <c r="E74" s="41"/>
      <c r="G74" s="42"/>
      <c r="H74" s="42"/>
      <c r="I74" s="42"/>
      <c r="J74" s="42"/>
      <c r="K74" s="42"/>
      <c r="L74" s="42"/>
      <c r="M74" s="42"/>
    </row>
    <row r="75">
      <c r="A75" s="44"/>
      <c r="B75" s="40"/>
      <c r="C75" s="41"/>
      <c r="D75" s="41"/>
      <c r="E75" s="41"/>
      <c r="G75" s="42"/>
      <c r="H75" s="42"/>
      <c r="I75" s="42"/>
      <c r="J75" s="42"/>
      <c r="K75" s="42"/>
      <c r="L75" s="42"/>
      <c r="M75" s="42"/>
    </row>
    <row r="76">
      <c r="A76" s="44"/>
      <c r="B76" s="40"/>
      <c r="C76" s="41"/>
      <c r="D76" s="41"/>
      <c r="E76" s="41"/>
      <c r="G76" s="42"/>
      <c r="H76" s="42"/>
      <c r="I76" s="42"/>
      <c r="J76" s="42"/>
      <c r="K76" s="42"/>
      <c r="L76" s="42"/>
      <c r="M76" s="42"/>
    </row>
    <row r="77">
      <c r="A77" s="44"/>
      <c r="B77" s="40"/>
      <c r="C77" s="41"/>
      <c r="D77" s="41"/>
      <c r="E77" s="41"/>
      <c r="G77" s="42"/>
      <c r="H77" s="42"/>
      <c r="I77" s="42"/>
      <c r="J77" s="42"/>
      <c r="K77" s="42"/>
      <c r="L77" s="42"/>
      <c r="M77" s="42"/>
    </row>
    <row r="78">
      <c r="A78" s="44"/>
      <c r="B78" s="40"/>
      <c r="C78" s="41"/>
      <c r="D78" s="41"/>
      <c r="E78" s="41"/>
      <c r="G78" s="42"/>
      <c r="H78" s="42"/>
      <c r="I78" s="42"/>
      <c r="J78" s="42"/>
      <c r="K78" s="42"/>
      <c r="L78" s="42"/>
      <c r="M78" s="42"/>
    </row>
    <row r="79">
      <c r="A79" s="44"/>
      <c r="B79" s="40"/>
      <c r="C79" s="41"/>
      <c r="D79" s="41"/>
      <c r="E79" s="41"/>
      <c r="G79" s="42"/>
      <c r="H79" s="42"/>
      <c r="I79" s="42"/>
      <c r="J79" s="42"/>
      <c r="K79" s="42"/>
      <c r="L79" s="42"/>
      <c r="M79" s="42"/>
    </row>
    <row r="80">
      <c r="A80" s="44"/>
      <c r="B80" s="40"/>
      <c r="C80" s="41"/>
      <c r="D80" s="41"/>
      <c r="E80" s="41"/>
      <c r="G80" s="42"/>
      <c r="H80" s="42"/>
      <c r="I80" s="42"/>
      <c r="J80" s="42"/>
      <c r="K80" s="42"/>
      <c r="L80" s="42"/>
      <c r="M80" s="42"/>
    </row>
    <row r="81">
      <c r="A81" s="44"/>
      <c r="B81" s="40"/>
      <c r="C81" s="41"/>
      <c r="D81" s="41"/>
      <c r="E81" s="41"/>
      <c r="G81" s="42"/>
      <c r="H81" s="42"/>
      <c r="I81" s="42"/>
      <c r="J81" s="42"/>
      <c r="K81" s="42"/>
      <c r="L81" s="42"/>
      <c r="M81" s="42"/>
    </row>
    <row r="82">
      <c r="A82" s="44"/>
      <c r="B82" s="40"/>
      <c r="C82" s="41"/>
      <c r="D82" s="41"/>
      <c r="E82" s="41"/>
      <c r="G82" s="42"/>
      <c r="H82" s="42"/>
      <c r="I82" s="42"/>
      <c r="J82" s="42"/>
      <c r="K82" s="42"/>
      <c r="L82" s="42"/>
      <c r="M82" s="42"/>
    </row>
    <row r="83">
      <c r="A83" s="44"/>
      <c r="B83" s="40"/>
      <c r="C83" s="41"/>
      <c r="D83" s="41"/>
      <c r="E83" s="41"/>
      <c r="G83" s="42"/>
      <c r="H83" s="42"/>
      <c r="I83" s="42"/>
      <c r="J83" s="42"/>
      <c r="K83" s="42"/>
      <c r="L83" s="42"/>
      <c r="M83" s="42"/>
    </row>
    <row r="84">
      <c r="A84" s="44"/>
      <c r="B84" s="40"/>
      <c r="C84" s="41"/>
      <c r="D84" s="41"/>
      <c r="E84" s="41"/>
      <c r="G84" s="42"/>
      <c r="H84" s="42"/>
      <c r="I84" s="42"/>
      <c r="J84" s="42"/>
      <c r="K84" s="42"/>
      <c r="L84" s="42"/>
      <c r="M84" s="42"/>
    </row>
    <row r="85">
      <c r="A85" s="44"/>
      <c r="B85" s="40"/>
      <c r="C85" s="41"/>
      <c r="D85" s="41"/>
      <c r="E85" s="41"/>
      <c r="G85" s="42"/>
      <c r="H85" s="42"/>
      <c r="I85" s="42"/>
      <c r="J85" s="42"/>
      <c r="K85" s="42"/>
      <c r="L85" s="42"/>
      <c r="M85" s="42"/>
    </row>
    <row r="86">
      <c r="A86" s="44"/>
      <c r="B86" s="40"/>
      <c r="C86" s="41"/>
      <c r="D86" s="41"/>
      <c r="E86" s="41"/>
      <c r="G86" s="42"/>
      <c r="H86" s="42"/>
      <c r="I86" s="42"/>
      <c r="J86" s="42"/>
      <c r="K86" s="42"/>
      <c r="L86" s="42"/>
      <c r="M86" s="42"/>
    </row>
    <row r="87">
      <c r="A87" s="44"/>
      <c r="B87" s="40"/>
      <c r="C87" s="41"/>
      <c r="D87" s="41"/>
      <c r="E87" s="41"/>
      <c r="G87" s="42"/>
      <c r="H87" s="42"/>
      <c r="I87" s="42"/>
      <c r="J87" s="42"/>
      <c r="K87" s="42"/>
      <c r="L87" s="42"/>
      <c r="M87" s="42"/>
    </row>
    <row r="88">
      <c r="A88" s="44"/>
      <c r="B88" s="40"/>
      <c r="C88" s="41"/>
      <c r="D88" s="41"/>
      <c r="E88" s="41"/>
      <c r="G88" s="42"/>
      <c r="H88" s="42"/>
      <c r="I88" s="42"/>
      <c r="J88" s="42"/>
      <c r="K88" s="42"/>
      <c r="L88" s="42"/>
      <c r="M88" s="42"/>
    </row>
    <row r="89">
      <c r="A89" s="44"/>
      <c r="B89" s="40"/>
      <c r="C89" s="41"/>
      <c r="D89" s="41"/>
      <c r="E89" s="41"/>
      <c r="G89" s="42"/>
      <c r="H89" s="42"/>
      <c r="I89" s="42"/>
      <c r="J89" s="42"/>
      <c r="K89" s="42"/>
      <c r="L89" s="42"/>
      <c r="M89" s="42"/>
    </row>
    <row r="90">
      <c r="A90" s="44"/>
      <c r="B90" s="40"/>
      <c r="C90" s="41"/>
      <c r="D90" s="41"/>
      <c r="E90" s="41"/>
      <c r="G90" s="42"/>
      <c r="H90" s="42"/>
      <c r="I90" s="42"/>
      <c r="J90" s="42"/>
      <c r="K90" s="42"/>
      <c r="L90" s="42"/>
      <c r="M90" s="42"/>
    </row>
    <row r="91">
      <c r="A91" s="44"/>
      <c r="B91" s="40"/>
      <c r="C91" s="41"/>
      <c r="D91" s="41"/>
      <c r="E91" s="41"/>
      <c r="G91" s="42"/>
      <c r="H91" s="42"/>
      <c r="I91" s="42"/>
      <c r="J91" s="42"/>
      <c r="K91" s="42"/>
      <c r="L91" s="42"/>
      <c r="M91" s="42"/>
    </row>
    <row r="92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</sheetData>
  <autoFilter ref="$A$31:$D$74"/>
  <mergeCells count="4">
    <mergeCell ref="A1:H2"/>
    <mergeCell ref="A4:D4"/>
    <mergeCell ref="G4:H4"/>
    <mergeCell ref="J4:M4"/>
  </mergeCells>
  <conditionalFormatting sqref="D6:E16">
    <cfRule type="cellIs" dxfId="0" priority="1" operator="greaterThan">
      <formula>0</formula>
    </cfRule>
  </conditionalFormatting>
  <conditionalFormatting sqref="D6:D15 E6:E16">
    <cfRule type="cellIs" dxfId="1" priority="2" operator="lessThan">
      <formula>0</formula>
    </cfRule>
  </conditionalFormatting>
  <dataValidations>
    <dataValidation type="list" allowBlank="1" sqref="B20:B100">
      <formula1>'Hidden list and Figures'!$A$3:$A$15</formula1>
    </dataValidation>
    <dataValidation type="custom" allowBlank="1" showDropDown="1" showInputMessage="1" prompt="Select a date" sqref="A32:A100">
      <formula1>OR(NOT(ISERROR(DATEVALUE(A32))), AND(ISNUMBER(A32), LEFT(CELL("format", A32))="D"))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6" max="6" width="15.13"/>
    <col customWidth="1" min="7" max="7" width="19.0"/>
    <col customWidth="1" min="8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45"/>
    </row>
    <row r="6">
      <c r="A6" s="15" t="s">
        <v>10</v>
      </c>
      <c r="B6" s="16">
        <v>2663.68</v>
      </c>
      <c r="C6" s="16">
        <f t="shared" ref="C6:C11" si="1">sumif($B$20:$C$122,A6,$C$20:$C$122)</f>
        <v>2592.04</v>
      </c>
      <c r="D6" s="17">
        <f t="shared" ref="D6:D15" si="2">B6-C6</f>
        <v>71.64</v>
      </c>
      <c r="E6" s="18">
        <f t="shared" ref="E6:E16" si="3">D6/B6</f>
        <v>0.02689512254</v>
      </c>
      <c r="G6" s="19" t="s">
        <v>11</v>
      </c>
      <c r="H6" s="45">
        <f>'MartinRachel Pay Stub'!B20*2</f>
        <v>3851.86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45">
        <f>2763*2</f>
        <v>5526</v>
      </c>
    </row>
    <row r="8">
      <c r="A8" s="21" t="s">
        <v>14</v>
      </c>
      <c r="B8" s="22">
        <v>250.0</v>
      </c>
      <c r="C8" s="22">
        <f t="shared" si="1"/>
        <v>86.59</v>
      </c>
      <c r="D8" s="23">
        <f t="shared" si="2"/>
        <v>163.41</v>
      </c>
      <c r="E8" s="18">
        <f t="shared" si="3"/>
        <v>0.65364</v>
      </c>
      <c r="H8" s="45"/>
    </row>
    <row r="9">
      <c r="A9" s="24" t="s">
        <v>15</v>
      </c>
      <c r="B9" s="22">
        <v>400.0</v>
      </c>
      <c r="C9" s="22">
        <f t="shared" si="1"/>
        <v>612.84</v>
      </c>
      <c r="D9" s="23">
        <f t="shared" si="2"/>
        <v>-212.84</v>
      </c>
      <c r="E9" s="18">
        <f t="shared" si="3"/>
        <v>-0.5321</v>
      </c>
      <c r="G9" s="13" t="s">
        <v>16</v>
      </c>
      <c r="H9" s="45"/>
    </row>
    <row r="10">
      <c r="A10" s="24" t="s">
        <v>17</v>
      </c>
      <c r="B10" s="22">
        <v>400.0</v>
      </c>
      <c r="C10" s="22">
        <f t="shared" si="1"/>
        <v>372.62</v>
      </c>
      <c r="D10" s="23">
        <f t="shared" si="2"/>
        <v>27.38</v>
      </c>
      <c r="E10" s="18">
        <f t="shared" si="3"/>
        <v>0.06845</v>
      </c>
      <c r="G10" s="19" t="s">
        <v>18</v>
      </c>
      <c r="H10" s="45">
        <f>sum(C16)</f>
        <v>5352.45</v>
      </c>
    </row>
    <row r="11">
      <c r="A11" s="22" t="s">
        <v>19</v>
      </c>
      <c r="B11" s="22">
        <v>200.0</v>
      </c>
      <c r="C11" s="22">
        <f t="shared" si="1"/>
        <v>731.3</v>
      </c>
      <c r="D11" s="23">
        <f t="shared" si="2"/>
        <v>-531.3</v>
      </c>
      <c r="E11" s="18">
        <f t="shared" si="3"/>
        <v>-2.6565</v>
      </c>
      <c r="H11" s="45"/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G12" s="13" t="s">
        <v>21</v>
      </c>
      <c r="H12" s="45"/>
    </row>
    <row r="13">
      <c r="A13" s="25" t="s">
        <v>22</v>
      </c>
      <c r="B13" s="22">
        <v>200.0</v>
      </c>
      <c r="C13" s="22">
        <f t="shared" ref="C13:C15" si="4">sumif($B$20:$C$122,A13,$C$20:$C$122)</f>
        <v>126.23</v>
      </c>
      <c r="D13" s="23">
        <f t="shared" si="2"/>
        <v>73.77</v>
      </c>
      <c r="E13" s="18">
        <f t="shared" si="3"/>
        <v>0.36885</v>
      </c>
      <c r="G13" s="19" t="s">
        <v>23</v>
      </c>
      <c r="H13" s="45"/>
    </row>
    <row r="14">
      <c r="A14" s="26" t="s">
        <v>24</v>
      </c>
      <c r="B14" s="27">
        <v>0.0</v>
      </c>
      <c r="C14" s="22">
        <f t="shared" si="4"/>
        <v>23.85</v>
      </c>
      <c r="D14" s="23">
        <f t="shared" si="2"/>
        <v>-23.85</v>
      </c>
      <c r="E14" s="18" t="str">
        <f t="shared" si="3"/>
        <v>#DIV/0!</v>
      </c>
      <c r="H14" s="46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306.98</v>
      </c>
      <c r="D15" s="28">
        <f t="shared" si="2"/>
        <v>-6.98</v>
      </c>
      <c r="E15" s="18">
        <f t="shared" si="3"/>
        <v>-0.02326666667</v>
      </c>
      <c r="G15" s="13" t="s">
        <v>26</v>
      </c>
      <c r="H15" s="47">
        <f>SUMIF($B$20:$C$122,$A$12,$C$20:$C$122)</f>
        <v>253.6</v>
      </c>
      <c r="I15" s="6"/>
      <c r="J15" s="6"/>
      <c r="K15" s="6"/>
      <c r="L15" s="6"/>
      <c r="M15" s="6"/>
    </row>
    <row r="16">
      <c r="A16" s="30" t="s">
        <v>27</v>
      </c>
      <c r="B16" s="31">
        <f t="shared" ref="B16:D16" si="5">SUM(B6:B15)</f>
        <v>4913.68</v>
      </c>
      <c r="C16" s="31">
        <f t="shared" si="5"/>
        <v>5352.45</v>
      </c>
      <c r="D16" s="31">
        <f t="shared" si="5"/>
        <v>-438.77</v>
      </c>
      <c r="E16" s="18">
        <f t="shared" si="3"/>
        <v>-0.08929559923</v>
      </c>
      <c r="F16" s="32"/>
      <c r="G16" s="13" t="s">
        <v>28</v>
      </c>
      <c r="H16" s="33">
        <f>500-SUMIF($B$20:$C$122,A12,$C$20:$C$122)+'July 2023 '!H16</f>
        <v>746.4</v>
      </c>
      <c r="I16" s="34"/>
      <c r="J16" s="34"/>
      <c r="K16" s="34"/>
      <c r="L16" s="34"/>
      <c r="M16" s="34"/>
    </row>
    <row r="17">
      <c r="A17" s="35"/>
      <c r="B17" s="36"/>
      <c r="C17" s="36"/>
      <c r="D17" s="37"/>
      <c r="E17" s="37"/>
      <c r="F17" s="36"/>
      <c r="G17" s="35"/>
      <c r="H17" s="35"/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13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2060.0</v>
      </c>
      <c r="D20" s="41" t="s">
        <v>33</v>
      </c>
      <c r="E20" s="41"/>
      <c r="G20" s="35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55.0</v>
      </c>
      <c r="D21" s="41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0.0</v>
      </c>
      <c r="D22" s="41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129.33</v>
      </c>
      <c r="D23" s="41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 t="s">
        <v>37</v>
      </c>
      <c r="D24" s="41" t="s">
        <v>38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1133.34/6</f>
        <v>188.89</v>
      </c>
      <c r="D25" s="41" t="s">
        <v>23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2.87</v>
      </c>
      <c r="D26" s="41" t="s">
        <v>39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1.99</v>
      </c>
      <c r="D27" s="41" t="s">
        <v>40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5.83</v>
      </c>
      <c r="D28" s="41" t="s">
        <v>41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148.13</v>
      </c>
      <c r="D29" s="41" t="s">
        <v>42</v>
      </c>
      <c r="E29" s="41"/>
      <c r="G29" s="42"/>
      <c r="H29" s="42"/>
      <c r="I29" s="42"/>
      <c r="J29" s="42"/>
      <c r="K29" s="42"/>
      <c r="L29" s="42"/>
      <c r="M29" s="42"/>
    </row>
    <row r="30">
      <c r="A30" s="43"/>
      <c r="B30" s="40"/>
      <c r="C30" s="41"/>
      <c r="D30" s="41"/>
      <c r="E30" s="41"/>
      <c r="G30" s="42"/>
      <c r="H30" s="42"/>
      <c r="I30" s="42"/>
      <c r="J30" s="42"/>
      <c r="K30" s="42"/>
      <c r="L30" s="42"/>
      <c r="M30" s="42"/>
    </row>
    <row r="31">
      <c r="A31" s="43"/>
      <c r="B31" s="40"/>
      <c r="C31" s="41"/>
      <c r="D31" s="41"/>
      <c r="E31" s="41"/>
      <c r="G31" s="42"/>
      <c r="H31" s="42"/>
      <c r="I31" s="42"/>
      <c r="J31" s="42"/>
      <c r="K31" s="42"/>
      <c r="L31" s="42"/>
      <c r="M31" s="42"/>
    </row>
    <row r="32">
      <c r="A32" s="44">
        <v>45139.0</v>
      </c>
      <c r="B32" s="40" t="s">
        <v>25</v>
      </c>
      <c r="C32" s="41">
        <v>60.62</v>
      </c>
      <c r="D32" s="41" t="s">
        <v>80</v>
      </c>
      <c r="E32" s="41"/>
      <c r="G32" s="42"/>
      <c r="H32" s="42"/>
      <c r="I32" s="42"/>
      <c r="J32" s="42"/>
      <c r="K32" s="42"/>
      <c r="L32" s="42"/>
      <c r="M32" s="42"/>
    </row>
    <row r="33">
      <c r="A33" s="44">
        <v>45139.0</v>
      </c>
      <c r="B33" s="40" t="s">
        <v>25</v>
      </c>
      <c r="C33" s="41">
        <v>27.04</v>
      </c>
      <c r="D33" s="41" t="s">
        <v>81</v>
      </c>
      <c r="E33" s="41"/>
      <c r="G33" s="42"/>
      <c r="H33" s="42"/>
      <c r="I33" s="42"/>
      <c r="J33" s="42"/>
      <c r="K33" s="42"/>
      <c r="L33" s="42"/>
      <c r="M33" s="42"/>
    </row>
    <row r="34">
      <c r="A34" s="44">
        <v>45141.0</v>
      </c>
      <c r="B34" s="40" t="s">
        <v>22</v>
      </c>
      <c r="C34" s="41">
        <v>33.17</v>
      </c>
      <c r="D34" s="41" t="s">
        <v>22</v>
      </c>
      <c r="E34" s="41"/>
      <c r="G34" s="42"/>
      <c r="H34" s="42"/>
      <c r="I34" s="42"/>
      <c r="J34" s="42"/>
      <c r="K34" s="42"/>
      <c r="L34" s="42"/>
      <c r="M34" s="42"/>
    </row>
    <row r="35">
      <c r="A35" s="44">
        <v>45141.0</v>
      </c>
      <c r="B35" s="40" t="s">
        <v>19</v>
      </c>
      <c r="C35" s="41">
        <v>70.0</v>
      </c>
      <c r="D35" s="41" t="s">
        <v>82</v>
      </c>
      <c r="E35" s="41"/>
      <c r="G35" s="42"/>
      <c r="H35" s="42"/>
      <c r="I35" s="42"/>
      <c r="J35" s="42"/>
      <c r="K35" s="42"/>
      <c r="L35" s="42"/>
      <c r="M35" s="42"/>
    </row>
    <row r="36">
      <c r="A36" s="44">
        <v>45141.0</v>
      </c>
      <c r="B36" s="40" t="s">
        <v>15</v>
      </c>
      <c r="C36" s="41">
        <v>123.0</v>
      </c>
      <c r="D36" s="41" t="s">
        <v>47</v>
      </c>
      <c r="E36" s="41"/>
      <c r="G36" s="42"/>
      <c r="H36" s="42"/>
      <c r="I36" s="42"/>
      <c r="J36" s="42"/>
      <c r="K36" s="42"/>
      <c r="L36" s="42"/>
      <c r="M36" s="42"/>
    </row>
    <row r="37">
      <c r="A37" s="44">
        <v>45141.0</v>
      </c>
      <c r="B37" s="40" t="s">
        <v>24</v>
      </c>
      <c r="C37" s="41">
        <v>10.87</v>
      </c>
      <c r="D37" s="41" t="s">
        <v>83</v>
      </c>
      <c r="E37" s="41"/>
      <c r="G37" s="42"/>
      <c r="H37" s="42"/>
      <c r="I37" s="42"/>
      <c r="J37" s="42"/>
      <c r="K37" s="42"/>
      <c r="L37" s="42"/>
      <c r="M37" s="42"/>
    </row>
    <row r="38">
      <c r="A38" s="44">
        <v>45142.0</v>
      </c>
      <c r="B38" s="40" t="s">
        <v>17</v>
      </c>
      <c r="C38" s="41">
        <v>61.48</v>
      </c>
      <c r="D38" s="41" t="s">
        <v>84</v>
      </c>
      <c r="E38" s="41"/>
      <c r="G38" s="42"/>
      <c r="H38" s="42"/>
      <c r="I38" s="42"/>
      <c r="J38" s="42"/>
      <c r="K38" s="42"/>
      <c r="L38" s="42"/>
      <c r="M38" s="42"/>
    </row>
    <row r="39">
      <c r="A39" s="44">
        <v>45143.0</v>
      </c>
      <c r="B39" s="40" t="s">
        <v>19</v>
      </c>
      <c r="C39" s="41">
        <v>155.87</v>
      </c>
      <c r="D39" s="41" t="s">
        <v>85</v>
      </c>
      <c r="E39" s="41"/>
      <c r="G39" s="42"/>
      <c r="H39" s="42"/>
      <c r="I39" s="42"/>
      <c r="J39" s="42"/>
      <c r="K39" s="42"/>
      <c r="L39" s="42"/>
      <c r="M39" s="42"/>
    </row>
    <row r="40">
      <c r="A40" s="48">
        <v>45143.0</v>
      </c>
      <c r="B40" s="40" t="s">
        <v>19</v>
      </c>
      <c r="C40" s="41">
        <v>119.06</v>
      </c>
      <c r="D40" s="41" t="s">
        <v>86</v>
      </c>
      <c r="E40" s="41"/>
      <c r="G40" s="42"/>
      <c r="H40" s="42"/>
      <c r="I40" s="42"/>
      <c r="J40" s="42"/>
      <c r="K40" s="42"/>
      <c r="L40" s="42"/>
      <c r="M40" s="42"/>
    </row>
    <row r="41">
      <c r="A41" s="44">
        <v>45143.0</v>
      </c>
      <c r="B41" s="40" t="s">
        <v>19</v>
      </c>
      <c r="C41" s="41">
        <f>214.89+96.34</f>
        <v>311.23</v>
      </c>
      <c r="D41" s="41" t="s">
        <v>87</v>
      </c>
      <c r="E41" s="41"/>
      <c r="G41" s="42"/>
      <c r="H41" s="42"/>
      <c r="I41" s="42"/>
      <c r="J41" s="42"/>
      <c r="K41" s="42"/>
      <c r="L41" s="42"/>
      <c r="M41" s="42"/>
    </row>
    <row r="42">
      <c r="A42" s="44">
        <v>45143.0</v>
      </c>
      <c r="B42" s="40" t="s">
        <v>17</v>
      </c>
      <c r="C42" s="41">
        <v>16.72</v>
      </c>
      <c r="D42" s="41" t="s">
        <v>88</v>
      </c>
      <c r="E42" s="41"/>
      <c r="G42" s="42"/>
      <c r="H42" s="42"/>
      <c r="I42" s="42"/>
      <c r="J42" s="42"/>
      <c r="K42" s="42"/>
      <c r="L42" s="42"/>
      <c r="M42" s="42"/>
    </row>
    <row r="43">
      <c r="A43" s="44">
        <v>45143.0</v>
      </c>
      <c r="B43" s="40" t="s">
        <v>25</v>
      </c>
      <c r="C43" s="41">
        <v>40.46</v>
      </c>
      <c r="D43" s="41" t="s">
        <v>89</v>
      </c>
      <c r="E43" s="41"/>
      <c r="G43" s="42"/>
      <c r="H43" s="42"/>
      <c r="I43" s="42"/>
      <c r="J43" s="42"/>
      <c r="K43" s="42"/>
      <c r="L43" s="42"/>
      <c r="M43" s="42"/>
    </row>
    <row r="44">
      <c r="A44" s="44">
        <v>45144.0</v>
      </c>
      <c r="B44" s="40" t="s">
        <v>15</v>
      </c>
      <c r="C44" s="41">
        <v>30.8</v>
      </c>
      <c r="D44" s="41" t="s">
        <v>57</v>
      </c>
      <c r="E44" s="41"/>
      <c r="G44" s="42"/>
      <c r="H44" s="42"/>
      <c r="I44" s="42"/>
      <c r="J44" s="42"/>
      <c r="K44" s="42"/>
      <c r="L44" s="42"/>
      <c r="M44" s="42"/>
    </row>
    <row r="45">
      <c r="A45" s="44">
        <v>45144.0</v>
      </c>
      <c r="B45" s="40" t="s">
        <v>15</v>
      </c>
      <c r="C45" s="41">
        <v>82.01</v>
      </c>
      <c r="D45" s="41" t="s">
        <v>90</v>
      </c>
      <c r="E45" s="41"/>
      <c r="G45" s="42"/>
      <c r="H45" s="42"/>
      <c r="I45" s="42"/>
      <c r="J45" s="42"/>
      <c r="K45" s="42"/>
      <c r="L45" s="42"/>
      <c r="M45" s="42"/>
    </row>
    <row r="46">
      <c r="A46" s="44">
        <v>45147.0</v>
      </c>
      <c r="B46" s="40" t="s">
        <v>25</v>
      </c>
      <c r="C46" s="41">
        <v>10.0</v>
      </c>
      <c r="D46" s="41" t="s">
        <v>91</v>
      </c>
      <c r="E46" s="41"/>
      <c r="G46" s="42"/>
      <c r="H46" s="42"/>
      <c r="I46" s="42"/>
      <c r="J46" s="42"/>
      <c r="K46" s="42"/>
      <c r="L46" s="42"/>
      <c r="M46" s="42"/>
    </row>
    <row r="47">
      <c r="A47" s="44">
        <v>45147.0</v>
      </c>
      <c r="B47" s="40" t="s">
        <v>25</v>
      </c>
      <c r="C47" s="41">
        <v>44.19</v>
      </c>
      <c r="D47" s="41" t="s">
        <v>92</v>
      </c>
      <c r="E47" s="41"/>
      <c r="G47" s="42"/>
      <c r="H47" s="42"/>
      <c r="I47" s="42"/>
      <c r="J47" s="42"/>
      <c r="K47" s="42"/>
      <c r="L47" s="42"/>
      <c r="M47" s="42"/>
    </row>
    <row r="48">
      <c r="A48" s="44">
        <v>45149.0</v>
      </c>
      <c r="B48" s="40" t="s">
        <v>17</v>
      </c>
      <c r="C48" s="41">
        <v>4.31</v>
      </c>
      <c r="D48" s="41" t="s">
        <v>93</v>
      </c>
      <c r="E48" s="41"/>
      <c r="G48" s="42"/>
      <c r="H48" s="42"/>
      <c r="I48" s="42"/>
      <c r="J48" s="42"/>
      <c r="K48" s="42"/>
      <c r="L48" s="42"/>
      <c r="M48" s="42"/>
    </row>
    <row r="49">
      <c r="A49" s="44">
        <v>45149.0</v>
      </c>
      <c r="B49" s="40" t="s">
        <v>15</v>
      </c>
      <c r="C49" s="41">
        <v>87.06</v>
      </c>
      <c r="D49" s="41" t="s">
        <v>47</v>
      </c>
      <c r="E49" s="41"/>
      <c r="G49" s="42"/>
      <c r="H49" s="42"/>
      <c r="I49" s="42"/>
      <c r="J49" s="42"/>
      <c r="K49" s="42"/>
      <c r="L49" s="42"/>
      <c r="M49" s="42"/>
    </row>
    <row r="50">
      <c r="A50" s="44">
        <v>45149.0</v>
      </c>
      <c r="B50" s="40" t="s">
        <v>25</v>
      </c>
      <c r="C50" s="41">
        <v>75.72</v>
      </c>
      <c r="D50" s="41" t="s">
        <v>94</v>
      </c>
      <c r="E50" s="41"/>
      <c r="G50" s="42"/>
      <c r="H50" s="42"/>
      <c r="I50" s="42"/>
      <c r="J50" s="42"/>
      <c r="K50" s="42"/>
      <c r="L50" s="42"/>
      <c r="M50" s="42"/>
    </row>
    <row r="51">
      <c r="A51" s="44">
        <v>45150.0</v>
      </c>
      <c r="B51" s="40" t="s">
        <v>25</v>
      </c>
      <c r="C51" s="41">
        <v>26.95</v>
      </c>
      <c r="D51" s="41" t="s">
        <v>95</v>
      </c>
      <c r="E51" s="41"/>
      <c r="G51" s="42"/>
      <c r="H51" s="42"/>
      <c r="I51" s="42"/>
      <c r="J51" s="42"/>
      <c r="K51" s="42"/>
      <c r="L51" s="42"/>
      <c r="M51" s="42"/>
    </row>
    <row r="52">
      <c r="A52" s="44">
        <v>45151.0</v>
      </c>
      <c r="B52" s="40" t="s">
        <v>75</v>
      </c>
      <c r="C52" s="41">
        <v>1.32</v>
      </c>
      <c r="D52" s="41" t="s">
        <v>96</v>
      </c>
      <c r="E52" s="41"/>
      <c r="G52" s="42"/>
      <c r="H52" s="42"/>
      <c r="I52" s="42"/>
      <c r="J52" s="42"/>
      <c r="K52" s="42"/>
      <c r="L52" s="42"/>
      <c r="M52" s="42"/>
    </row>
    <row r="53">
      <c r="A53" s="44">
        <v>45152.0</v>
      </c>
      <c r="B53" s="40" t="s">
        <v>25</v>
      </c>
      <c r="C53" s="41">
        <v>6.0</v>
      </c>
      <c r="D53" s="41" t="s">
        <v>97</v>
      </c>
      <c r="E53" s="41"/>
      <c r="G53" s="42"/>
      <c r="H53" s="42"/>
      <c r="I53" s="42"/>
      <c r="J53" s="42"/>
      <c r="K53" s="42"/>
      <c r="L53" s="42"/>
      <c r="M53" s="42"/>
    </row>
    <row r="54">
      <c r="A54" s="44">
        <v>45152.0</v>
      </c>
      <c r="B54" s="40" t="s">
        <v>19</v>
      </c>
      <c r="C54" s="41">
        <v>24.43</v>
      </c>
      <c r="D54" s="41" t="s">
        <v>98</v>
      </c>
      <c r="E54" s="41"/>
      <c r="G54" s="42"/>
      <c r="H54" s="42"/>
      <c r="I54" s="42"/>
      <c r="J54" s="42"/>
      <c r="K54" s="42"/>
      <c r="L54" s="42"/>
      <c r="M54" s="42"/>
    </row>
    <row r="55">
      <c r="A55" s="44">
        <v>45149.0</v>
      </c>
      <c r="B55" s="40" t="s">
        <v>19</v>
      </c>
      <c r="C55" s="41">
        <v>34.63</v>
      </c>
      <c r="D55" s="41" t="s">
        <v>99</v>
      </c>
      <c r="E55" s="41"/>
      <c r="G55" s="42"/>
      <c r="H55" s="42"/>
      <c r="I55" s="42"/>
      <c r="J55" s="42"/>
      <c r="K55" s="42"/>
      <c r="L55" s="42"/>
      <c r="M55" s="42"/>
    </row>
    <row r="56">
      <c r="A56" s="44">
        <v>45151.0</v>
      </c>
      <c r="B56" s="40" t="s">
        <v>24</v>
      </c>
      <c r="C56" s="41">
        <v>12.98</v>
      </c>
      <c r="D56" s="41" t="s">
        <v>100</v>
      </c>
      <c r="E56" s="41"/>
      <c r="G56" s="42"/>
      <c r="H56" s="42"/>
      <c r="I56" s="42"/>
      <c r="J56" s="42"/>
      <c r="K56" s="42"/>
      <c r="L56" s="42"/>
      <c r="M56" s="42"/>
    </row>
    <row r="57">
      <c r="A57" s="44">
        <v>45154.0</v>
      </c>
      <c r="B57" s="40" t="s">
        <v>22</v>
      </c>
      <c r="C57" s="41">
        <v>39.68</v>
      </c>
      <c r="D57" s="41" t="s">
        <v>70</v>
      </c>
      <c r="E57" s="41"/>
      <c r="G57" s="42"/>
      <c r="H57" s="42"/>
      <c r="I57" s="42"/>
      <c r="J57" s="42"/>
      <c r="K57" s="42"/>
      <c r="L57" s="42"/>
      <c r="M57" s="42"/>
    </row>
    <row r="58">
      <c r="A58" s="44">
        <v>45152.0</v>
      </c>
      <c r="B58" s="40" t="s">
        <v>25</v>
      </c>
      <c r="C58" s="41">
        <v>16.0</v>
      </c>
      <c r="D58" s="41" t="s">
        <v>101</v>
      </c>
      <c r="E58" s="41"/>
      <c r="G58" s="42"/>
      <c r="H58" s="42"/>
      <c r="I58" s="42"/>
      <c r="J58" s="42"/>
      <c r="K58" s="42"/>
      <c r="L58" s="42"/>
      <c r="M58" s="42"/>
    </row>
    <row r="59">
      <c r="A59" s="44">
        <v>45157.0</v>
      </c>
      <c r="B59" s="40" t="s">
        <v>17</v>
      </c>
      <c r="C59" s="41">
        <v>20.22</v>
      </c>
      <c r="D59" s="41" t="s">
        <v>102</v>
      </c>
      <c r="E59" s="41"/>
      <c r="G59" s="42"/>
      <c r="H59" s="42"/>
      <c r="I59" s="42"/>
      <c r="J59" s="42"/>
      <c r="K59" s="42"/>
      <c r="L59" s="42"/>
      <c r="M59" s="42"/>
    </row>
    <row r="60">
      <c r="A60" s="44">
        <v>45157.0</v>
      </c>
      <c r="B60" s="40" t="s">
        <v>17</v>
      </c>
      <c r="C60" s="41">
        <v>13.0</v>
      </c>
      <c r="D60" s="41" t="s">
        <v>61</v>
      </c>
      <c r="E60" s="41"/>
      <c r="G60" s="42"/>
      <c r="H60" s="42"/>
      <c r="I60" s="42"/>
      <c r="J60" s="42"/>
      <c r="K60" s="42"/>
      <c r="L60" s="42"/>
      <c r="M60" s="42"/>
    </row>
    <row r="61">
      <c r="A61" s="44">
        <v>45157.0</v>
      </c>
      <c r="B61" s="40" t="s">
        <v>15</v>
      </c>
      <c r="C61" s="41">
        <v>13.5</v>
      </c>
      <c r="D61" s="41" t="s">
        <v>103</v>
      </c>
      <c r="E61" s="41"/>
      <c r="G61" s="42"/>
      <c r="H61" s="42"/>
      <c r="I61" s="42"/>
      <c r="J61" s="42"/>
      <c r="K61" s="42"/>
      <c r="L61" s="42"/>
      <c r="M61" s="42"/>
    </row>
    <row r="62">
      <c r="A62" s="44">
        <v>45158.0</v>
      </c>
      <c r="B62" s="40" t="s">
        <v>15</v>
      </c>
      <c r="C62" s="41">
        <v>86.06</v>
      </c>
      <c r="D62" s="41" t="s">
        <v>47</v>
      </c>
      <c r="E62" s="41"/>
      <c r="G62" s="42"/>
      <c r="H62" s="42"/>
      <c r="I62" s="42"/>
      <c r="J62" s="42"/>
      <c r="K62" s="42"/>
      <c r="L62" s="42"/>
      <c r="M62" s="42"/>
    </row>
    <row r="63">
      <c r="A63" s="44">
        <v>45158.0</v>
      </c>
      <c r="B63" s="40" t="s">
        <v>17</v>
      </c>
      <c r="C63" s="41">
        <v>3.25</v>
      </c>
      <c r="D63" s="41" t="s">
        <v>47</v>
      </c>
      <c r="E63" s="41"/>
      <c r="G63" s="42"/>
      <c r="H63" s="42"/>
      <c r="I63" s="42"/>
      <c r="J63" s="42"/>
      <c r="K63" s="42"/>
      <c r="L63" s="42"/>
      <c r="M63" s="42"/>
    </row>
    <row r="64">
      <c r="A64" s="44">
        <v>45161.0</v>
      </c>
      <c r="B64" s="40" t="s">
        <v>17</v>
      </c>
      <c r="C64" s="41">
        <v>12.0</v>
      </c>
      <c r="D64" s="41" t="s">
        <v>104</v>
      </c>
      <c r="E64" s="41"/>
      <c r="G64" s="42"/>
      <c r="H64" s="42"/>
      <c r="I64" s="42"/>
      <c r="J64" s="42"/>
      <c r="K64" s="42"/>
      <c r="L64" s="42"/>
      <c r="M64" s="42"/>
    </row>
    <row r="65">
      <c r="A65" s="44">
        <v>45161.0</v>
      </c>
      <c r="B65" s="40" t="s">
        <v>15</v>
      </c>
      <c r="C65" s="41">
        <v>3.89</v>
      </c>
      <c r="D65" s="41" t="s">
        <v>105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45159.0</v>
      </c>
      <c r="B66" s="40" t="s">
        <v>15</v>
      </c>
      <c r="C66" s="41">
        <v>73.51</v>
      </c>
      <c r="D66" s="41" t="s">
        <v>106</v>
      </c>
      <c r="E66" s="41"/>
      <c r="G66" s="42"/>
      <c r="H66" s="42"/>
      <c r="I66" s="42"/>
      <c r="J66" s="42"/>
      <c r="K66" s="42"/>
      <c r="L66" s="42"/>
      <c r="M66" s="42"/>
    </row>
    <row r="67">
      <c r="A67" s="44">
        <v>45159.0</v>
      </c>
      <c r="B67" s="40" t="s">
        <v>15</v>
      </c>
      <c r="C67" s="41">
        <v>8.48</v>
      </c>
      <c r="D67" s="41" t="s">
        <v>107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45159.0</v>
      </c>
      <c r="B68" s="40" t="s">
        <v>15</v>
      </c>
      <c r="C68" s="41">
        <v>3.98</v>
      </c>
      <c r="D68" s="41" t="s">
        <v>107</v>
      </c>
      <c r="E68" s="41"/>
      <c r="G68" s="42"/>
      <c r="H68" s="42"/>
      <c r="I68" s="42"/>
      <c r="J68" s="42"/>
      <c r="K68" s="42"/>
      <c r="L68" s="42"/>
      <c r="M68" s="42"/>
    </row>
    <row r="69">
      <c r="A69" s="44">
        <v>45157.0</v>
      </c>
      <c r="B69" s="40" t="s">
        <v>19</v>
      </c>
      <c r="C69" s="41">
        <v>3.1</v>
      </c>
      <c r="D69" s="41" t="s">
        <v>108</v>
      </c>
      <c r="E69" s="41"/>
      <c r="G69" s="42"/>
      <c r="H69" s="42"/>
      <c r="I69" s="42"/>
      <c r="J69" s="42"/>
      <c r="K69" s="42"/>
      <c r="L69" s="42"/>
      <c r="M69" s="42"/>
    </row>
    <row r="70">
      <c r="A70" s="44">
        <v>45152.0</v>
      </c>
      <c r="B70" s="40" t="s">
        <v>19</v>
      </c>
      <c r="C70" s="41">
        <v>12.98</v>
      </c>
      <c r="D70" s="41" t="s">
        <v>100</v>
      </c>
      <c r="E70" s="41"/>
      <c r="G70" s="42"/>
      <c r="H70" s="42"/>
      <c r="I70" s="42"/>
      <c r="J70" s="42"/>
      <c r="K70" s="42"/>
      <c r="L70" s="42"/>
      <c r="M70" s="42"/>
    </row>
    <row r="71">
      <c r="A71" s="44">
        <v>45146.0</v>
      </c>
      <c r="B71" s="40" t="s">
        <v>15</v>
      </c>
      <c r="C71" s="41">
        <v>0.77</v>
      </c>
      <c r="D71" s="41" t="s">
        <v>109</v>
      </c>
      <c r="E71" s="41"/>
      <c r="G71" s="42"/>
      <c r="H71" s="42"/>
      <c r="I71" s="42"/>
      <c r="J71" s="42"/>
      <c r="K71" s="42"/>
      <c r="L71" s="42"/>
      <c r="M71" s="42"/>
    </row>
    <row r="72">
      <c r="A72" s="44">
        <v>45165.0</v>
      </c>
      <c r="B72" s="40" t="s">
        <v>15</v>
      </c>
      <c r="C72" s="41">
        <v>18.45</v>
      </c>
      <c r="D72" s="41" t="s">
        <v>110</v>
      </c>
      <c r="E72" s="41"/>
      <c r="G72" s="42"/>
      <c r="H72" s="42"/>
      <c r="I72" s="42"/>
      <c r="J72" s="42"/>
      <c r="K72" s="42"/>
      <c r="L72" s="42"/>
      <c r="M72" s="42"/>
    </row>
    <row r="73">
      <c r="A73" s="44">
        <v>45163.0</v>
      </c>
      <c r="B73" s="40" t="s">
        <v>17</v>
      </c>
      <c r="C73" s="41">
        <v>7.0</v>
      </c>
      <c r="D73" s="41" t="s">
        <v>111</v>
      </c>
      <c r="E73" s="41"/>
      <c r="G73" s="42"/>
      <c r="H73" s="42"/>
      <c r="I73" s="42"/>
      <c r="J73" s="42"/>
      <c r="K73" s="42"/>
      <c r="L73" s="42"/>
      <c r="M73" s="42"/>
    </row>
    <row r="74">
      <c r="A74" s="44">
        <v>45161.0</v>
      </c>
      <c r="B74" s="40" t="s">
        <v>17</v>
      </c>
      <c r="C74" s="41">
        <v>10.8</v>
      </c>
      <c r="D74" s="41" t="s">
        <v>112</v>
      </c>
      <c r="E74" s="41"/>
      <c r="G74" s="42"/>
      <c r="H74" s="42"/>
      <c r="I74" s="42"/>
      <c r="J74" s="42"/>
      <c r="K74" s="42"/>
      <c r="L74" s="42"/>
      <c r="M74" s="42"/>
    </row>
    <row r="75">
      <c r="A75" s="44">
        <v>45159.0</v>
      </c>
      <c r="B75" s="40" t="s">
        <v>79</v>
      </c>
      <c r="C75" s="41">
        <v>14.0</v>
      </c>
      <c r="D75" s="41" t="s">
        <v>113</v>
      </c>
      <c r="E75" s="41"/>
      <c r="G75" s="42"/>
      <c r="H75" s="42"/>
      <c r="I75" s="42"/>
      <c r="J75" s="42"/>
      <c r="K75" s="42"/>
      <c r="L75" s="42"/>
      <c r="M75" s="42"/>
    </row>
    <row r="76">
      <c r="A76" s="44">
        <v>45159.0</v>
      </c>
      <c r="B76" s="40" t="s">
        <v>79</v>
      </c>
      <c r="C76" s="41">
        <v>23.0</v>
      </c>
      <c r="D76" s="41" t="s">
        <v>114</v>
      </c>
      <c r="E76" s="41"/>
      <c r="G76" s="42"/>
      <c r="H76" s="42"/>
      <c r="I76" s="42"/>
      <c r="J76" s="42"/>
      <c r="K76" s="42"/>
      <c r="L76" s="42"/>
      <c r="M76" s="42"/>
    </row>
    <row r="77">
      <c r="A77" s="44">
        <v>45158.0</v>
      </c>
      <c r="B77" s="40" t="s">
        <v>14</v>
      </c>
      <c r="C77" s="41">
        <v>86.59</v>
      </c>
      <c r="D77" s="41" t="s">
        <v>115</v>
      </c>
      <c r="E77" s="41"/>
      <c r="G77" s="42"/>
      <c r="H77" s="42"/>
      <c r="I77" s="42"/>
      <c r="J77" s="42"/>
      <c r="K77" s="42"/>
      <c r="L77" s="42"/>
      <c r="M77" s="42"/>
    </row>
    <row r="78">
      <c r="A78" s="44">
        <v>45158.0</v>
      </c>
      <c r="B78" s="40" t="s">
        <v>79</v>
      </c>
      <c r="C78" s="41">
        <v>162.6</v>
      </c>
      <c r="D78" s="41" t="s">
        <v>116</v>
      </c>
      <c r="E78" s="41"/>
      <c r="G78" s="42"/>
      <c r="H78" s="42"/>
      <c r="I78" s="42"/>
      <c r="J78" s="42"/>
      <c r="K78" s="42"/>
      <c r="L78" s="42"/>
      <c r="M78" s="42"/>
    </row>
    <row r="79">
      <c r="A79" s="44">
        <v>45157.0</v>
      </c>
      <c r="B79" s="40" t="s">
        <v>117</v>
      </c>
      <c r="C79" s="41">
        <v>10.8</v>
      </c>
      <c r="D79" s="41" t="s">
        <v>118</v>
      </c>
      <c r="E79" s="41"/>
      <c r="G79" s="42"/>
      <c r="H79" s="42"/>
      <c r="I79" s="42"/>
      <c r="J79" s="42"/>
      <c r="K79" s="42"/>
      <c r="L79" s="42"/>
      <c r="M79" s="42"/>
    </row>
    <row r="80">
      <c r="A80" s="44">
        <v>45157.0</v>
      </c>
      <c r="B80" s="40" t="s">
        <v>79</v>
      </c>
      <c r="C80" s="41">
        <v>54.0</v>
      </c>
      <c r="D80" s="41" t="s">
        <v>119</v>
      </c>
      <c r="E80" s="41"/>
      <c r="G80" s="42"/>
      <c r="H80" s="42"/>
      <c r="I80" s="42"/>
      <c r="J80" s="42"/>
      <c r="K80" s="42"/>
      <c r="L80" s="42"/>
      <c r="M80" s="42"/>
    </row>
    <row r="81">
      <c r="A81" s="44">
        <v>45156.0</v>
      </c>
      <c r="B81" s="40" t="s">
        <v>75</v>
      </c>
      <c r="C81" s="41">
        <v>109.11</v>
      </c>
      <c r="D81" s="41" t="s">
        <v>120</v>
      </c>
      <c r="E81" s="41"/>
      <c r="G81" s="42"/>
      <c r="H81" s="42"/>
      <c r="I81" s="42"/>
      <c r="J81" s="42"/>
      <c r="K81" s="42"/>
      <c r="L81" s="42"/>
      <c r="M81" s="42"/>
    </row>
    <row r="82">
      <c r="A82" s="44">
        <v>45156.0</v>
      </c>
      <c r="B82" s="40" t="s">
        <v>75</v>
      </c>
      <c r="C82" s="41">
        <v>24.61</v>
      </c>
      <c r="D82" s="41" t="s">
        <v>121</v>
      </c>
      <c r="E82" s="41"/>
      <c r="G82" s="42"/>
      <c r="H82" s="42"/>
      <c r="I82" s="42"/>
      <c r="J82" s="42"/>
      <c r="K82" s="42"/>
      <c r="L82" s="42"/>
      <c r="M82" s="42"/>
    </row>
    <row r="83">
      <c r="A83" s="44">
        <v>45154.0</v>
      </c>
      <c r="B83" s="40" t="s">
        <v>15</v>
      </c>
      <c r="C83" s="41">
        <v>48.36</v>
      </c>
      <c r="D83" s="41" t="s">
        <v>122</v>
      </c>
      <c r="E83" s="41"/>
      <c r="G83" s="42"/>
      <c r="H83" s="42"/>
      <c r="I83" s="42"/>
      <c r="J83" s="42"/>
      <c r="K83" s="42"/>
      <c r="L83" s="42"/>
      <c r="M83" s="42"/>
    </row>
    <row r="84">
      <c r="A84" s="44">
        <v>45165.0</v>
      </c>
      <c r="B84" s="40" t="s">
        <v>15</v>
      </c>
      <c r="C84" s="41">
        <v>24.0</v>
      </c>
      <c r="D84" s="41" t="s">
        <v>47</v>
      </c>
      <c r="E84" s="41"/>
      <c r="G84" s="42"/>
      <c r="H84" s="42"/>
      <c r="I84" s="42"/>
      <c r="J84" s="42"/>
      <c r="K84" s="42"/>
      <c r="L84" s="42"/>
      <c r="M84" s="42"/>
    </row>
    <row r="85">
      <c r="A85" s="44">
        <v>45165.0</v>
      </c>
      <c r="B85" s="40" t="s">
        <v>17</v>
      </c>
      <c r="C85" s="41">
        <v>19.8</v>
      </c>
      <c r="D85" s="41" t="s">
        <v>96</v>
      </c>
      <c r="E85" s="41"/>
      <c r="G85" s="42"/>
      <c r="H85" s="42"/>
      <c r="I85" s="42"/>
      <c r="J85" s="42"/>
      <c r="K85" s="42"/>
      <c r="L85" s="42"/>
      <c r="M85" s="42"/>
    </row>
    <row r="86">
      <c r="A86" s="44">
        <v>45163.0</v>
      </c>
      <c r="B86" s="40" t="s">
        <v>75</v>
      </c>
      <c r="C86" s="41">
        <v>69.0</v>
      </c>
      <c r="D86" s="41" t="s">
        <v>123</v>
      </c>
      <c r="E86" s="41"/>
      <c r="G86" s="42"/>
      <c r="H86" s="42"/>
      <c r="I86" s="42"/>
      <c r="J86" s="42"/>
      <c r="K86" s="42"/>
      <c r="L86" s="42"/>
      <c r="M86" s="42"/>
    </row>
    <row r="87">
      <c r="A87" s="44">
        <v>45165.0</v>
      </c>
      <c r="B87" s="40" t="s">
        <v>15</v>
      </c>
      <c r="C87" s="41">
        <v>-9.52</v>
      </c>
      <c r="D87" s="41" t="s">
        <v>124</v>
      </c>
      <c r="E87" s="41"/>
      <c r="G87" s="42"/>
      <c r="H87" s="42"/>
      <c r="I87" s="42"/>
      <c r="J87" s="42"/>
      <c r="K87" s="42"/>
      <c r="L87" s="42"/>
      <c r="M87" s="42"/>
    </row>
    <row r="88">
      <c r="A88" s="44">
        <v>45159.0</v>
      </c>
      <c r="B88" s="40" t="s">
        <v>22</v>
      </c>
      <c r="C88" s="41">
        <v>53.38</v>
      </c>
      <c r="D88" s="41" t="s">
        <v>22</v>
      </c>
      <c r="E88" s="41"/>
      <c r="G88" s="42"/>
      <c r="H88" s="42"/>
      <c r="I88" s="42"/>
      <c r="J88" s="42"/>
      <c r="K88" s="42"/>
      <c r="L88" s="42"/>
      <c r="M88" s="42"/>
    </row>
    <row r="89">
      <c r="A89" s="44">
        <v>45164.0</v>
      </c>
      <c r="B89" s="40" t="s">
        <v>15</v>
      </c>
      <c r="C89" s="41">
        <v>18.49</v>
      </c>
      <c r="D89" s="41" t="s">
        <v>125</v>
      </c>
      <c r="E89" s="41"/>
      <c r="G89" s="42"/>
      <c r="H89" s="42"/>
      <c r="I89" s="42"/>
      <c r="J89" s="42"/>
      <c r="K89" s="42"/>
      <c r="L89" s="42"/>
      <c r="M89" s="42"/>
    </row>
    <row r="90">
      <c r="A90" s="44"/>
      <c r="B90" s="40"/>
      <c r="C90" s="41"/>
      <c r="D90" s="41"/>
      <c r="E90" s="41"/>
      <c r="G90" s="42"/>
      <c r="H90" s="42"/>
      <c r="I90" s="42"/>
      <c r="J90" s="42"/>
      <c r="K90" s="42"/>
      <c r="L90" s="42"/>
      <c r="M90" s="42"/>
    </row>
    <row r="91">
      <c r="A91" s="44"/>
      <c r="B91" s="40"/>
      <c r="C91" s="41"/>
      <c r="D91" s="41"/>
      <c r="E91" s="41"/>
      <c r="G91" s="42"/>
      <c r="H91" s="42"/>
      <c r="I91" s="42"/>
      <c r="J91" s="42"/>
      <c r="K91" s="42"/>
      <c r="L91" s="42"/>
      <c r="M91" s="42"/>
    </row>
    <row r="92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  <row r="102">
      <c r="A102" s="44"/>
      <c r="B102" s="40"/>
      <c r="C102" s="41"/>
      <c r="D102" s="41"/>
      <c r="E102" s="41"/>
      <c r="G102" s="42"/>
      <c r="H102" s="42"/>
      <c r="I102" s="42"/>
      <c r="J102" s="42"/>
      <c r="K102" s="42"/>
      <c r="L102" s="42"/>
      <c r="M102" s="42"/>
    </row>
    <row r="103">
      <c r="A103" s="44"/>
      <c r="B103" s="40"/>
      <c r="C103" s="41"/>
      <c r="D103" s="41"/>
      <c r="E103" s="41"/>
      <c r="G103" s="42"/>
      <c r="H103" s="42"/>
      <c r="I103" s="42"/>
      <c r="J103" s="42"/>
      <c r="K103" s="42"/>
      <c r="L103" s="42"/>
      <c r="M103" s="42"/>
    </row>
    <row r="104">
      <c r="A104" s="44"/>
      <c r="B104" s="40"/>
      <c r="C104" s="41"/>
      <c r="D104" s="41"/>
      <c r="E104" s="41"/>
      <c r="G104" s="42"/>
      <c r="H104" s="42"/>
      <c r="I104" s="42"/>
      <c r="J104" s="42"/>
      <c r="K104" s="42"/>
      <c r="L104" s="42"/>
      <c r="M104" s="42"/>
    </row>
    <row r="105">
      <c r="A105" s="44"/>
      <c r="B105" s="40"/>
      <c r="C105" s="41"/>
      <c r="D105" s="41"/>
      <c r="E105" s="41"/>
      <c r="G105" s="42"/>
      <c r="H105" s="42"/>
      <c r="I105" s="42"/>
      <c r="J105" s="42"/>
      <c r="K105" s="42"/>
      <c r="L105" s="42"/>
      <c r="M105" s="42"/>
    </row>
    <row r="106">
      <c r="A106" s="44"/>
      <c r="B106" s="40"/>
      <c r="C106" s="41"/>
      <c r="D106" s="41"/>
      <c r="E106" s="41"/>
      <c r="G106" s="42"/>
      <c r="H106" s="42"/>
      <c r="I106" s="42"/>
      <c r="J106" s="42"/>
      <c r="K106" s="42"/>
      <c r="L106" s="42"/>
      <c r="M106" s="42"/>
    </row>
    <row r="107">
      <c r="A107" s="44"/>
      <c r="B107" s="40"/>
      <c r="C107" s="41"/>
      <c r="D107" s="41"/>
      <c r="E107" s="41"/>
      <c r="G107" s="42"/>
      <c r="H107" s="42"/>
      <c r="I107" s="42"/>
      <c r="J107" s="42"/>
      <c r="K107" s="42"/>
      <c r="L107" s="42"/>
      <c r="M107" s="42"/>
    </row>
    <row r="108">
      <c r="A108" s="44"/>
      <c r="B108" s="40"/>
      <c r="C108" s="41"/>
      <c r="D108" s="41"/>
      <c r="E108" s="41"/>
      <c r="G108" s="42"/>
      <c r="H108" s="42"/>
      <c r="I108" s="42"/>
      <c r="J108" s="42"/>
      <c r="K108" s="42"/>
      <c r="L108" s="42"/>
      <c r="M108" s="42"/>
    </row>
    <row r="109">
      <c r="A109" s="44"/>
      <c r="B109" s="40"/>
      <c r="C109" s="41"/>
      <c r="D109" s="41"/>
      <c r="E109" s="41"/>
      <c r="G109" s="42"/>
      <c r="H109" s="42"/>
      <c r="I109" s="42"/>
      <c r="J109" s="42"/>
      <c r="K109" s="42"/>
      <c r="L109" s="42"/>
      <c r="M109" s="42"/>
    </row>
    <row r="110">
      <c r="A110" s="44"/>
      <c r="B110" s="40"/>
      <c r="C110" s="41"/>
      <c r="D110" s="41"/>
      <c r="E110" s="41"/>
      <c r="G110" s="42"/>
      <c r="H110" s="42"/>
      <c r="I110" s="42"/>
      <c r="J110" s="42"/>
      <c r="K110" s="42"/>
      <c r="L110" s="42"/>
      <c r="M110" s="42"/>
    </row>
    <row r="111">
      <c r="A111" s="44"/>
      <c r="B111" s="40"/>
      <c r="C111" s="41"/>
      <c r="D111" s="41"/>
      <c r="E111" s="41"/>
      <c r="G111" s="42"/>
      <c r="H111" s="42"/>
      <c r="I111" s="42"/>
      <c r="J111" s="42"/>
      <c r="K111" s="42"/>
      <c r="L111" s="42"/>
      <c r="M111" s="42"/>
    </row>
    <row r="112">
      <c r="A112" s="44"/>
      <c r="B112" s="40"/>
      <c r="C112" s="41"/>
      <c r="D112" s="41"/>
      <c r="E112" s="41"/>
      <c r="G112" s="42"/>
      <c r="H112" s="42"/>
      <c r="I112" s="42"/>
      <c r="J112" s="42"/>
      <c r="K112" s="42"/>
      <c r="L112" s="42"/>
      <c r="M112" s="42"/>
    </row>
    <row r="113">
      <c r="A113" s="44"/>
      <c r="B113" s="40"/>
      <c r="C113" s="41"/>
      <c r="D113" s="41"/>
      <c r="E113" s="41"/>
      <c r="G113" s="42"/>
      <c r="H113" s="42"/>
      <c r="I113" s="42"/>
      <c r="J113" s="42"/>
      <c r="K113" s="42"/>
      <c r="L113" s="42"/>
      <c r="M113" s="42"/>
    </row>
    <row r="114">
      <c r="A114" s="44"/>
      <c r="B114" s="40"/>
      <c r="C114" s="41"/>
      <c r="D114" s="41"/>
      <c r="E114" s="41"/>
      <c r="G114" s="42"/>
      <c r="H114" s="42"/>
      <c r="I114" s="42"/>
      <c r="J114" s="42"/>
      <c r="K114" s="42"/>
      <c r="L114" s="42"/>
      <c r="M114" s="42"/>
    </row>
    <row r="115">
      <c r="A115" s="44"/>
      <c r="B115" s="40"/>
      <c r="C115" s="41"/>
      <c r="D115" s="41"/>
      <c r="E115" s="41"/>
      <c r="G115" s="42"/>
      <c r="H115" s="42"/>
      <c r="I115" s="42"/>
      <c r="J115" s="42"/>
      <c r="K115" s="42"/>
      <c r="L115" s="42"/>
      <c r="M115" s="42"/>
    </row>
    <row r="116">
      <c r="A116" s="44"/>
      <c r="B116" s="40"/>
      <c r="C116" s="41"/>
      <c r="D116" s="41"/>
      <c r="E116" s="41"/>
      <c r="G116" s="42"/>
      <c r="H116" s="42"/>
      <c r="I116" s="42"/>
      <c r="J116" s="42"/>
      <c r="K116" s="42"/>
      <c r="L116" s="42"/>
      <c r="M116" s="42"/>
    </row>
    <row r="117">
      <c r="A117" s="44"/>
      <c r="B117" s="40"/>
      <c r="C117" s="41"/>
      <c r="D117" s="41"/>
      <c r="E117" s="41"/>
      <c r="G117" s="42"/>
      <c r="H117" s="42"/>
      <c r="I117" s="42"/>
      <c r="J117" s="42"/>
      <c r="K117" s="42"/>
      <c r="L117" s="42"/>
      <c r="M117" s="42"/>
    </row>
    <row r="118">
      <c r="A118" s="44"/>
      <c r="B118" s="40"/>
      <c r="C118" s="41"/>
      <c r="D118" s="41"/>
      <c r="E118" s="41"/>
      <c r="G118" s="42"/>
      <c r="H118" s="42"/>
      <c r="I118" s="42"/>
      <c r="J118" s="42"/>
      <c r="K118" s="42"/>
      <c r="L118" s="42"/>
      <c r="M118" s="42"/>
    </row>
    <row r="119">
      <c r="A119" s="44"/>
      <c r="B119" s="40"/>
      <c r="C119" s="41"/>
      <c r="D119" s="41"/>
      <c r="E119" s="41"/>
      <c r="G119" s="42"/>
      <c r="H119" s="42"/>
      <c r="I119" s="42"/>
      <c r="J119" s="42"/>
      <c r="K119" s="42"/>
      <c r="L119" s="42"/>
      <c r="M119" s="42"/>
    </row>
    <row r="120">
      <c r="A120" s="44"/>
      <c r="B120" s="40"/>
      <c r="C120" s="41"/>
      <c r="D120" s="41"/>
      <c r="E120" s="41"/>
      <c r="G120" s="42"/>
      <c r="H120" s="42"/>
      <c r="I120" s="42"/>
      <c r="J120" s="42"/>
      <c r="K120" s="42"/>
      <c r="L120" s="42"/>
      <c r="M120" s="42"/>
    </row>
    <row r="121">
      <c r="A121" s="44"/>
      <c r="B121" s="40"/>
      <c r="C121" s="41"/>
      <c r="D121" s="41"/>
      <c r="E121" s="41"/>
      <c r="G121" s="42"/>
      <c r="H121" s="42"/>
      <c r="I121" s="42"/>
      <c r="J121" s="42"/>
      <c r="K121" s="42"/>
      <c r="L121" s="42"/>
      <c r="M121" s="42"/>
    </row>
    <row r="122">
      <c r="A122" s="44"/>
      <c r="B122" s="40"/>
      <c r="C122" s="41"/>
      <c r="D122" s="41"/>
      <c r="E122" s="41"/>
      <c r="G122" s="42"/>
      <c r="H122" s="42"/>
      <c r="I122" s="42"/>
      <c r="J122" s="42"/>
      <c r="K122" s="42"/>
      <c r="L122" s="42"/>
      <c r="M122" s="42"/>
    </row>
  </sheetData>
  <autoFilter ref="$A$31:$D$95"/>
  <mergeCells count="4">
    <mergeCell ref="A1:H2"/>
    <mergeCell ref="A4:D4"/>
    <mergeCell ref="G4:H4"/>
    <mergeCell ref="J4:M4"/>
  </mergeCells>
  <conditionalFormatting sqref="D6:E16">
    <cfRule type="cellIs" dxfId="0" priority="1" operator="greaterThan">
      <formula>0</formula>
    </cfRule>
  </conditionalFormatting>
  <conditionalFormatting sqref="D6:D15 E6:E16">
    <cfRule type="cellIs" dxfId="1" priority="2" operator="lessThan">
      <formula>0</formula>
    </cfRule>
  </conditionalFormatting>
  <dataValidations>
    <dataValidation type="list" allowBlank="1" sqref="B20:B122">
      <formula1>'Hidden list and Figures'!$A$3:$A$15</formula1>
    </dataValidation>
    <dataValidation type="custom" allowBlank="1" showDropDown="1" showInputMessage="1" prompt="Select a date" sqref="A32:A122">
      <formula1>OR(NOT(ISERROR(DATEVALUE(A32))), AND(ISNUMBER(A32), LEFT(CELL("format", A32))="D"))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20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sumif($B$20:$C$101,A6,$C$20:$C$101)</f>
        <v>2620.38</v>
      </c>
      <c r="D6" s="17">
        <f t="shared" ref="D6:D15" si="2">B6-C6</f>
        <v>43.3</v>
      </c>
      <c r="E6" s="18">
        <f t="shared" ref="E6:E16" si="3">D6/B6</f>
        <v>0.01625570639</v>
      </c>
      <c r="G6" s="19" t="s">
        <v>11</v>
      </c>
      <c r="H6" s="14">
        <v>3643.0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14">
        <f>2763*2</f>
        <v>5526</v>
      </c>
    </row>
    <row r="8">
      <c r="A8" s="21" t="s">
        <v>14</v>
      </c>
      <c r="B8" s="22">
        <v>250.0</v>
      </c>
      <c r="C8" s="22">
        <f t="shared" si="1"/>
        <v>0</v>
      </c>
      <c r="D8" s="23">
        <f t="shared" si="2"/>
        <v>250</v>
      </c>
      <c r="E8" s="18">
        <f t="shared" si="3"/>
        <v>1</v>
      </c>
      <c r="H8" s="14"/>
    </row>
    <row r="9">
      <c r="A9" s="24" t="s">
        <v>15</v>
      </c>
      <c r="B9" s="22">
        <v>400.0</v>
      </c>
      <c r="C9" s="22">
        <f t="shared" si="1"/>
        <v>764.92</v>
      </c>
      <c r="D9" s="23">
        <f t="shared" si="2"/>
        <v>-364.92</v>
      </c>
      <c r="E9" s="18">
        <f t="shared" si="3"/>
        <v>-0.9123</v>
      </c>
      <c r="G9" s="13" t="s">
        <v>16</v>
      </c>
      <c r="H9" s="14"/>
    </row>
    <row r="10">
      <c r="A10" s="24" t="s">
        <v>17</v>
      </c>
      <c r="B10" s="22">
        <v>400.0</v>
      </c>
      <c r="C10" s="22">
        <f t="shared" si="1"/>
        <v>461.29</v>
      </c>
      <c r="D10" s="23">
        <f t="shared" si="2"/>
        <v>-61.29</v>
      </c>
      <c r="E10" s="18">
        <f t="shared" si="3"/>
        <v>-0.153225</v>
      </c>
      <c r="G10" s="19" t="s">
        <v>18</v>
      </c>
      <c r="H10" s="14">
        <f>sum(C16)</f>
        <v>5661.46</v>
      </c>
    </row>
    <row r="11">
      <c r="A11" s="22" t="s">
        <v>19</v>
      </c>
      <c r="B11" s="22">
        <v>200.0</v>
      </c>
      <c r="C11" s="22">
        <f t="shared" si="1"/>
        <v>213.2</v>
      </c>
      <c r="D11" s="23">
        <f t="shared" si="2"/>
        <v>-13.2</v>
      </c>
      <c r="E11" s="18">
        <f t="shared" si="3"/>
        <v>-0.066</v>
      </c>
      <c r="H11" s="14"/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G12" s="13" t="s">
        <v>21</v>
      </c>
      <c r="H12" s="14"/>
    </row>
    <row r="13">
      <c r="A13" s="25" t="s">
        <v>22</v>
      </c>
      <c r="B13" s="22">
        <v>200.0</v>
      </c>
      <c r="C13" s="22">
        <f t="shared" ref="C13:C15" si="4">sumif($B$20:$C$101,A13,$C$20:$C$101)</f>
        <v>124.48</v>
      </c>
      <c r="D13" s="23">
        <f t="shared" si="2"/>
        <v>75.52</v>
      </c>
      <c r="E13" s="18">
        <f t="shared" si="3"/>
        <v>0.3776</v>
      </c>
      <c r="G13" s="19" t="s">
        <v>23</v>
      </c>
      <c r="H13" s="14"/>
    </row>
    <row r="14">
      <c r="A14" s="26" t="s">
        <v>24</v>
      </c>
      <c r="B14" s="27">
        <v>0.0</v>
      </c>
      <c r="C14" s="22">
        <f t="shared" si="4"/>
        <v>39.39</v>
      </c>
      <c r="D14" s="23">
        <f t="shared" si="2"/>
        <v>-39.39</v>
      </c>
      <c r="E14" s="18" t="str">
        <f t="shared" si="3"/>
        <v>#DIV/0!</v>
      </c>
      <c r="H14" s="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937.8</v>
      </c>
      <c r="D15" s="28">
        <f t="shared" si="2"/>
        <v>-637.8</v>
      </c>
      <c r="E15" s="18">
        <f t="shared" si="3"/>
        <v>-2.126</v>
      </c>
      <c r="G15" s="13" t="s">
        <v>26</v>
      </c>
      <c r="H15" s="47">
        <f>SUMIF($B$20:$C$123,$A$12,$C$20:$C$123)</f>
        <v>20.6</v>
      </c>
      <c r="I15" s="6"/>
      <c r="J15" s="6"/>
      <c r="K15" s="6"/>
      <c r="L15" s="6"/>
      <c r="M15" s="6"/>
    </row>
    <row r="16">
      <c r="A16" s="30" t="s">
        <v>27</v>
      </c>
      <c r="B16" s="31">
        <f t="shared" ref="B16:D16" si="5">SUM(B6:B15)</f>
        <v>4913.68</v>
      </c>
      <c r="C16" s="31">
        <f t="shared" si="5"/>
        <v>5661.46</v>
      </c>
      <c r="D16" s="31">
        <f t="shared" si="5"/>
        <v>-747.78</v>
      </c>
      <c r="E16" s="18">
        <f t="shared" si="3"/>
        <v>-0.1521832924</v>
      </c>
      <c r="F16" s="32"/>
      <c r="G16" s="13" t="s">
        <v>28</v>
      </c>
      <c r="H16" s="33">
        <f>500-SUMIF($B$20:$C$123,A12,$C$20:$C$123)+'Aug 2023'!H16</f>
        <v>1225.8</v>
      </c>
      <c r="I16" s="34"/>
      <c r="J16" s="34"/>
      <c r="K16" s="34"/>
      <c r="L16" s="34"/>
      <c r="M16" s="34"/>
    </row>
    <row r="17">
      <c r="A17" s="35"/>
      <c r="B17" s="36"/>
      <c r="C17" s="36"/>
      <c r="D17" s="37"/>
      <c r="E17" s="37"/>
      <c r="F17" s="36"/>
      <c r="G17" s="35"/>
      <c r="H17" s="35"/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2060.0</v>
      </c>
      <c r="D20" s="41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0.0</v>
      </c>
      <c r="D21" s="41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93.34</v>
      </c>
      <c r="D22" s="41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129.33</v>
      </c>
      <c r="D23" s="41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 t="s">
        <v>37</v>
      </c>
      <c r="D24" s="41" t="s">
        <v>38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1133.34/6</f>
        <v>188.89</v>
      </c>
      <c r="D25" s="41" t="s">
        <v>23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2.87</v>
      </c>
      <c r="D26" s="41" t="s">
        <v>39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1.99</v>
      </c>
      <c r="D27" s="41" t="s">
        <v>40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5.83</v>
      </c>
      <c r="D28" s="41" t="s">
        <v>41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138.13</v>
      </c>
      <c r="D29" s="41" t="s">
        <v>42</v>
      </c>
      <c r="E29" s="41"/>
      <c r="G29" s="42"/>
      <c r="H29" s="42"/>
      <c r="I29" s="42"/>
      <c r="J29" s="42"/>
      <c r="K29" s="42"/>
      <c r="L29" s="42"/>
      <c r="M29" s="42"/>
    </row>
    <row r="30">
      <c r="A30" s="43"/>
      <c r="B30" s="40"/>
      <c r="C30" s="41"/>
      <c r="D30" s="41"/>
      <c r="E30" s="41"/>
      <c r="G30" s="42"/>
      <c r="H30" s="42"/>
      <c r="I30" s="42"/>
      <c r="J30" s="42"/>
      <c r="K30" s="42"/>
      <c r="L30" s="42"/>
      <c r="M30" s="42"/>
    </row>
    <row r="31">
      <c r="A31" s="43"/>
      <c r="B31" s="40"/>
      <c r="C31" s="41"/>
      <c r="D31" s="41"/>
      <c r="E31" s="41"/>
      <c r="G31" s="42"/>
      <c r="H31" s="42"/>
      <c r="I31" s="42"/>
      <c r="J31" s="42"/>
      <c r="K31" s="42"/>
      <c r="L31" s="42"/>
      <c r="M31" s="42"/>
    </row>
    <row r="32" hidden="1">
      <c r="A32" s="44">
        <v>45170.0</v>
      </c>
      <c r="B32" s="40" t="s">
        <v>17</v>
      </c>
      <c r="C32" s="41">
        <v>72.0</v>
      </c>
      <c r="D32" s="41" t="s">
        <v>126</v>
      </c>
      <c r="E32" s="41"/>
      <c r="G32" s="42"/>
      <c r="H32" s="42"/>
      <c r="I32" s="42"/>
      <c r="J32" s="42"/>
      <c r="K32" s="42"/>
      <c r="L32" s="42"/>
      <c r="M32" s="42"/>
    </row>
    <row r="33" hidden="1">
      <c r="A33" s="44">
        <v>45170.0</v>
      </c>
      <c r="B33" s="40" t="s">
        <v>22</v>
      </c>
      <c r="C33" s="41">
        <v>45.0</v>
      </c>
      <c r="D33" s="41" t="s">
        <v>127</v>
      </c>
      <c r="E33" s="41"/>
      <c r="G33" s="42"/>
      <c r="H33" s="42"/>
      <c r="I33" s="42"/>
      <c r="J33" s="42"/>
      <c r="K33" s="42"/>
      <c r="L33" s="42"/>
      <c r="M33" s="42"/>
    </row>
    <row r="34" hidden="1">
      <c r="A34" s="44">
        <v>45170.0</v>
      </c>
      <c r="B34" s="40" t="s">
        <v>17</v>
      </c>
      <c r="C34" s="41">
        <v>5.9</v>
      </c>
      <c r="D34" s="41" t="s">
        <v>128</v>
      </c>
      <c r="E34" s="41"/>
      <c r="G34" s="42"/>
      <c r="H34" s="42"/>
      <c r="I34" s="42"/>
      <c r="J34" s="42"/>
      <c r="K34" s="42"/>
      <c r="L34" s="42"/>
      <c r="M34" s="42"/>
    </row>
    <row r="35" hidden="1">
      <c r="A35" s="44">
        <v>45171.0</v>
      </c>
      <c r="B35" s="40" t="s">
        <v>17</v>
      </c>
      <c r="C35" s="41" t="s">
        <v>129</v>
      </c>
      <c r="D35" s="41" t="s">
        <v>130</v>
      </c>
      <c r="E35" s="41"/>
      <c r="G35" s="42"/>
      <c r="H35" s="42"/>
      <c r="I35" s="42"/>
      <c r="J35" s="42"/>
      <c r="K35" s="42"/>
      <c r="L35" s="42"/>
      <c r="M35" s="42"/>
    </row>
    <row r="36" hidden="1">
      <c r="A36" s="44">
        <v>45171.0</v>
      </c>
      <c r="B36" s="40" t="s">
        <v>15</v>
      </c>
      <c r="C36" s="41">
        <v>17.74</v>
      </c>
      <c r="D36" s="41" t="s">
        <v>131</v>
      </c>
      <c r="E36" s="41"/>
      <c r="G36" s="42"/>
      <c r="H36" s="42"/>
      <c r="I36" s="42"/>
      <c r="J36" s="42"/>
      <c r="K36" s="42"/>
      <c r="L36" s="42"/>
      <c r="M36" s="42"/>
    </row>
    <row r="37" hidden="1">
      <c r="A37" s="44">
        <v>45171.0</v>
      </c>
      <c r="B37" s="40" t="s">
        <v>75</v>
      </c>
      <c r="C37" s="41">
        <v>29.06</v>
      </c>
      <c r="D37" s="41" t="s">
        <v>132</v>
      </c>
      <c r="E37" s="41"/>
      <c r="G37" s="42"/>
      <c r="H37" s="42"/>
      <c r="I37" s="42"/>
      <c r="J37" s="42"/>
      <c r="K37" s="42"/>
      <c r="L37" s="42"/>
      <c r="M37" s="42"/>
    </row>
    <row r="38" hidden="1">
      <c r="A38" s="44">
        <v>45171.0</v>
      </c>
      <c r="B38" s="40" t="s">
        <v>15</v>
      </c>
      <c r="C38" s="41">
        <v>8.71</v>
      </c>
      <c r="D38" s="41" t="s">
        <v>110</v>
      </c>
      <c r="E38" s="41"/>
      <c r="G38" s="42"/>
      <c r="H38" s="42"/>
      <c r="I38" s="42"/>
      <c r="J38" s="42"/>
      <c r="K38" s="42"/>
      <c r="L38" s="42"/>
      <c r="M38" s="42"/>
    </row>
    <row r="39" hidden="1">
      <c r="A39" s="48">
        <v>45171.0</v>
      </c>
      <c r="B39" s="40" t="s">
        <v>17</v>
      </c>
      <c r="C39" s="41">
        <v>9.34</v>
      </c>
      <c r="D39" s="41" t="s">
        <v>133</v>
      </c>
      <c r="E39" s="41"/>
      <c r="G39" s="42"/>
      <c r="H39" s="42"/>
      <c r="I39" s="42"/>
      <c r="J39" s="42"/>
      <c r="K39" s="42"/>
      <c r="L39" s="42"/>
      <c r="M39" s="42"/>
    </row>
    <row r="40" hidden="1">
      <c r="A40" s="44">
        <v>45171.0</v>
      </c>
      <c r="B40" s="40" t="s">
        <v>17</v>
      </c>
      <c r="C40" s="41">
        <v>5.68</v>
      </c>
      <c r="D40" s="41" t="s">
        <v>134</v>
      </c>
      <c r="E40" s="41"/>
      <c r="G40" s="42"/>
      <c r="H40" s="42"/>
      <c r="I40" s="42"/>
      <c r="J40" s="42"/>
      <c r="K40" s="42"/>
      <c r="L40" s="42"/>
      <c r="M40" s="42"/>
    </row>
    <row r="41">
      <c r="A41" s="44">
        <v>45171.0</v>
      </c>
      <c r="B41" s="40" t="s">
        <v>25</v>
      </c>
      <c r="C41" s="41">
        <v>36.0</v>
      </c>
      <c r="D41" s="41" t="s">
        <v>135</v>
      </c>
      <c r="E41" s="41"/>
      <c r="G41" s="42"/>
      <c r="H41" s="42"/>
      <c r="I41" s="42"/>
      <c r="J41" s="42"/>
      <c r="K41" s="42"/>
      <c r="L41" s="42"/>
      <c r="M41" s="42"/>
    </row>
    <row r="42" hidden="1">
      <c r="A42" s="44">
        <v>45171.0</v>
      </c>
      <c r="B42" s="40" t="s">
        <v>15</v>
      </c>
      <c r="C42" s="41">
        <v>163.17</v>
      </c>
      <c r="D42" s="41" t="s">
        <v>47</v>
      </c>
      <c r="E42" s="41"/>
      <c r="G42" s="42"/>
      <c r="H42" s="42"/>
      <c r="I42" s="42"/>
      <c r="J42" s="42"/>
      <c r="K42" s="42"/>
      <c r="L42" s="42"/>
      <c r="M42" s="42"/>
    </row>
    <row r="43" hidden="1">
      <c r="A43" s="44">
        <v>45171.0</v>
      </c>
      <c r="B43" s="40" t="s">
        <v>19</v>
      </c>
      <c r="C43" s="41">
        <v>21.0</v>
      </c>
      <c r="D43" s="41" t="s">
        <v>136</v>
      </c>
      <c r="E43" s="41"/>
      <c r="G43" s="42"/>
      <c r="H43" s="42"/>
      <c r="I43" s="42"/>
      <c r="J43" s="42"/>
      <c r="K43" s="42"/>
      <c r="L43" s="42"/>
      <c r="M43" s="42"/>
    </row>
    <row r="44">
      <c r="A44" s="44">
        <v>45172.0</v>
      </c>
      <c r="B44" s="40" t="s">
        <v>25</v>
      </c>
      <c r="C44" s="41">
        <v>127.0</v>
      </c>
      <c r="D44" s="41" t="s">
        <v>137</v>
      </c>
      <c r="E44" s="41"/>
      <c r="G44" s="42"/>
      <c r="H44" s="42"/>
      <c r="I44" s="42"/>
      <c r="J44" s="42"/>
      <c r="K44" s="42"/>
      <c r="L44" s="42"/>
      <c r="M44" s="42"/>
    </row>
    <row r="45" hidden="1">
      <c r="A45" s="44">
        <v>45172.0</v>
      </c>
      <c r="B45" s="40" t="s">
        <v>19</v>
      </c>
      <c r="C45" s="41">
        <v>150.0</v>
      </c>
      <c r="D45" s="41" t="s">
        <v>138</v>
      </c>
      <c r="E45" s="41"/>
      <c r="G45" s="42"/>
      <c r="H45" s="42"/>
      <c r="I45" s="42"/>
      <c r="J45" s="42"/>
      <c r="K45" s="42"/>
      <c r="L45" s="42"/>
      <c r="M45" s="42"/>
    </row>
    <row r="46" hidden="1">
      <c r="A46" s="44">
        <v>45174.0</v>
      </c>
      <c r="B46" s="40" t="s">
        <v>19</v>
      </c>
      <c r="C46" s="41">
        <v>19.99</v>
      </c>
      <c r="D46" s="41" t="s">
        <v>139</v>
      </c>
      <c r="E46" s="41"/>
      <c r="G46" s="42"/>
      <c r="H46" s="42"/>
      <c r="I46" s="42"/>
      <c r="J46" s="42"/>
      <c r="K46" s="42"/>
      <c r="L46" s="42"/>
      <c r="M46" s="42"/>
    </row>
    <row r="47" hidden="1">
      <c r="A47" s="44">
        <v>45172.0</v>
      </c>
      <c r="B47" s="40" t="s">
        <v>17</v>
      </c>
      <c r="C47" s="41">
        <v>24.9</v>
      </c>
      <c r="D47" s="41" t="s">
        <v>140</v>
      </c>
      <c r="E47" s="41"/>
      <c r="G47" s="42"/>
      <c r="H47" s="42"/>
      <c r="I47" s="42"/>
      <c r="J47" s="42"/>
      <c r="K47" s="42"/>
      <c r="L47" s="42"/>
      <c r="M47" s="42"/>
    </row>
    <row r="48">
      <c r="A48" s="44">
        <v>45177.0</v>
      </c>
      <c r="B48" s="40" t="s">
        <v>25</v>
      </c>
      <c r="C48" s="41">
        <v>161.0</v>
      </c>
      <c r="D48" s="41" t="s">
        <v>141</v>
      </c>
      <c r="E48" s="41"/>
      <c r="G48" s="42"/>
      <c r="H48" s="42"/>
      <c r="I48" s="42"/>
      <c r="J48" s="42"/>
      <c r="K48" s="42"/>
      <c r="L48" s="42"/>
      <c r="M48" s="42"/>
    </row>
    <row r="49">
      <c r="A49" s="44">
        <v>45177.0</v>
      </c>
      <c r="B49" s="40" t="s">
        <v>25</v>
      </c>
      <c r="C49" s="41">
        <v>10.0</v>
      </c>
      <c r="D49" s="41" t="s">
        <v>142</v>
      </c>
      <c r="E49" s="41"/>
      <c r="G49" s="42"/>
      <c r="H49" s="42"/>
      <c r="I49" s="42"/>
      <c r="J49" s="42"/>
      <c r="K49" s="42"/>
      <c r="L49" s="42"/>
      <c r="M49" s="42"/>
    </row>
    <row r="50" hidden="1">
      <c r="A50" s="44">
        <v>45178.0</v>
      </c>
      <c r="B50" s="40" t="s">
        <v>17</v>
      </c>
      <c r="C50" s="41">
        <v>32.15</v>
      </c>
      <c r="D50" s="41" t="s">
        <v>143</v>
      </c>
      <c r="E50" s="41"/>
      <c r="G50" s="42"/>
      <c r="H50" s="42"/>
      <c r="I50" s="42"/>
      <c r="J50" s="42"/>
      <c r="K50" s="42"/>
      <c r="L50" s="42"/>
      <c r="M50" s="42"/>
    </row>
    <row r="51" hidden="1">
      <c r="A51" s="44">
        <v>45174.0</v>
      </c>
      <c r="B51" s="40" t="s">
        <v>15</v>
      </c>
      <c r="C51" s="41">
        <v>31.47</v>
      </c>
      <c r="D51" s="41" t="s">
        <v>47</v>
      </c>
      <c r="E51" s="41"/>
      <c r="G51" s="42"/>
      <c r="H51" s="42"/>
      <c r="I51" s="42"/>
      <c r="J51" s="42"/>
      <c r="K51" s="42"/>
      <c r="L51" s="42"/>
      <c r="M51" s="42"/>
    </row>
    <row r="52" hidden="1">
      <c r="A52" s="44">
        <v>45174.0</v>
      </c>
      <c r="B52" s="40" t="s">
        <v>24</v>
      </c>
      <c r="C52" s="41">
        <v>4.0</v>
      </c>
      <c r="D52" s="41" t="s">
        <v>144</v>
      </c>
      <c r="E52" s="41"/>
      <c r="G52" s="42"/>
      <c r="H52" s="42"/>
      <c r="I52" s="42"/>
      <c r="J52" s="42"/>
      <c r="K52" s="42"/>
      <c r="L52" s="42"/>
      <c r="M52" s="42"/>
    </row>
    <row r="53" hidden="1">
      <c r="A53" s="44">
        <v>45179.0</v>
      </c>
      <c r="B53" s="40" t="s">
        <v>17</v>
      </c>
      <c r="C53" s="41">
        <v>20.0</v>
      </c>
      <c r="D53" s="41" t="s">
        <v>132</v>
      </c>
      <c r="E53" s="41"/>
      <c r="G53" s="42"/>
      <c r="H53" s="42"/>
      <c r="I53" s="42"/>
      <c r="J53" s="42"/>
      <c r="K53" s="42"/>
      <c r="L53" s="42"/>
      <c r="M53" s="42"/>
    </row>
    <row r="54" hidden="1">
      <c r="A54" s="44">
        <v>45190.0</v>
      </c>
      <c r="B54" s="40" t="s">
        <v>24</v>
      </c>
      <c r="C54" s="41">
        <v>18.4</v>
      </c>
      <c r="D54" s="41" t="s">
        <v>145</v>
      </c>
      <c r="E54" s="41"/>
      <c r="G54" s="42"/>
      <c r="H54" s="42"/>
      <c r="I54" s="42"/>
      <c r="J54" s="42"/>
      <c r="K54" s="42"/>
      <c r="L54" s="42"/>
      <c r="M54" s="42"/>
    </row>
    <row r="55" hidden="1">
      <c r="A55" s="44">
        <v>45186.0</v>
      </c>
      <c r="B55" s="40" t="s">
        <v>15</v>
      </c>
      <c r="C55" s="41">
        <v>17.31</v>
      </c>
      <c r="D55" s="41" t="s">
        <v>110</v>
      </c>
      <c r="E55" s="41"/>
      <c r="G55" s="42"/>
      <c r="H55" s="42"/>
      <c r="I55" s="42"/>
      <c r="J55" s="42"/>
      <c r="K55" s="42"/>
      <c r="L55" s="42"/>
      <c r="M55" s="42"/>
    </row>
    <row r="56" hidden="1">
      <c r="A56" s="44">
        <v>45186.0</v>
      </c>
      <c r="B56" s="40" t="s">
        <v>17</v>
      </c>
      <c r="C56" s="41">
        <v>41.6</v>
      </c>
      <c r="D56" s="41" t="s">
        <v>146</v>
      </c>
      <c r="E56" s="41"/>
      <c r="G56" s="42"/>
      <c r="H56" s="42"/>
      <c r="I56" s="42"/>
      <c r="J56" s="42"/>
      <c r="K56" s="42"/>
      <c r="L56" s="42"/>
      <c r="M56" s="42"/>
    </row>
    <row r="57">
      <c r="A57" s="44">
        <v>45185.0</v>
      </c>
      <c r="B57" s="40" t="s">
        <v>25</v>
      </c>
      <c r="C57" s="41">
        <v>370.0</v>
      </c>
      <c r="D57" s="41" t="s">
        <v>147</v>
      </c>
      <c r="E57" s="41"/>
      <c r="G57" s="42"/>
      <c r="H57" s="42"/>
      <c r="I57" s="42"/>
      <c r="J57" s="42"/>
      <c r="K57" s="42"/>
      <c r="L57" s="42"/>
      <c r="M57" s="42"/>
    </row>
    <row r="58" hidden="1">
      <c r="A58" s="44">
        <v>45184.0</v>
      </c>
      <c r="B58" s="40" t="s">
        <v>24</v>
      </c>
      <c r="C58" s="41">
        <v>9.0</v>
      </c>
      <c r="D58" s="41" t="s">
        <v>148</v>
      </c>
      <c r="E58" s="41"/>
      <c r="G58" s="42"/>
      <c r="H58" s="42"/>
      <c r="I58" s="42"/>
      <c r="J58" s="42"/>
      <c r="K58" s="42"/>
      <c r="L58" s="42"/>
      <c r="M58" s="42"/>
    </row>
    <row r="59" hidden="1">
      <c r="A59" s="44">
        <v>45183.0</v>
      </c>
      <c r="B59" s="40" t="s">
        <v>17</v>
      </c>
      <c r="C59" s="41">
        <v>11.46</v>
      </c>
      <c r="D59" s="41" t="s">
        <v>149</v>
      </c>
      <c r="E59" s="41"/>
      <c r="G59" s="42"/>
      <c r="H59" s="42"/>
      <c r="I59" s="42"/>
      <c r="J59" s="42"/>
      <c r="K59" s="42"/>
      <c r="L59" s="42"/>
      <c r="M59" s="42"/>
    </row>
    <row r="60">
      <c r="A60" s="44">
        <v>45181.0</v>
      </c>
      <c r="B60" s="40" t="s">
        <v>25</v>
      </c>
      <c r="C60" s="41">
        <v>25.8</v>
      </c>
      <c r="D60" s="41" t="s">
        <v>150</v>
      </c>
      <c r="E60" s="41"/>
      <c r="G60" s="42"/>
      <c r="H60" s="42"/>
      <c r="I60" s="42"/>
      <c r="J60" s="42"/>
      <c r="K60" s="42"/>
      <c r="L60" s="42"/>
      <c r="M60" s="42"/>
    </row>
    <row r="61" hidden="1">
      <c r="A61" s="44">
        <v>45192.0</v>
      </c>
      <c r="B61" s="40" t="s">
        <v>17</v>
      </c>
      <c r="C61" s="41">
        <v>64.95</v>
      </c>
      <c r="D61" s="41" t="s">
        <v>84</v>
      </c>
      <c r="E61" s="41"/>
      <c r="G61" s="42"/>
      <c r="H61" s="42"/>
      <c r="I61" s="42"/>
      <c r="J61" s="42"/>
      <c r="K61" s="42"/>
      <c r="L61" s="42"/>
      <c r="M61" s="42"/>
    </row>
    <row r="62">
      <c r="A62" s="44">
        <v>45192.0</v>
      </c>
      <c r="B62" s="40" t="s">
        <v>25</v>
      </c>
      <c r="C62" s="41">
        <v>48.0</v>
      </c>
      <c r="D62" s="41" t="s">
        <v>151</v>
      </c>
      <c r="E62" s="41"/>
      <c r="G62" s="42"/>
      <c r="H62" s="42"/>
      <c r="I62" s="42"/>
      <c r="J62" s="42"/>
      <c r="K62" s="42"/>
      <c r="L62" s="42"/>
      <c r="M62" s="42"/>
    </row>
    <row r="63" hidden="1">
      <c r="A63" s="44">
        <v>45191.0</v>
      </c>
      <c r="B63" s="40" t="s">
        <v>17</v>
      </c>
      <c r="C63" s="41">
        <v>76.75</v>
      </c>
      <c r="D63" s="41" t="s">
        <v>152</v>
      </c>
      <c r="E63" s="41"/>
      <c r="G63" s="42"/>
      <c r="H63" s="42"/>
      <c r="I63" s="42"/>
      <c r="J63" s="42"/>
      <c r="K63" s="42"/>
      <c r="L63" s="42"/>
      <c r="M63" s="42"/>
    </row>
    <row r="64" hidden="1">
      <c r="A64" s="44">
        <v>45186.0</v>
      </c>
      <c r="B64" s="40" t="s">
        <v>15</v>
      </c>
      <c r="C64" s="41">
        <v>123.37</v>
      </c>
      <c r="D64" s="41" t="s">
        <v>47</v>
      </c>
      <c r="E64" s="41"/>
      <c r="G64" s="42"/>
      <c r="H64" s="42"/>
      <c r="I64" s="42"/>
      <c r="J64" s="42"/>
      <c r="K64" s="42"/>
      <c r="L64" s="42"/>
      <c r="M64" s="42"/>
    </row>
    <row r="65" hidden="1">
      <c r="A65" s="44">
        <v>45184.0</v>
      </c>
      <c r="B65" s="40" t="s">
        <v>17</v>
      </c>
      <c r="C65" s="41">
        <f>59.22/2</f>
        <v>29.61</v>
      </c>
      <c r="D65" s="41" t="s">
        <v>153</v>
      </c>
      <c r="E65" s="41"/>
      <c r="G65" s="42"/>
      <c r="H65" s="42"/>
      <c r="I65" s="42"/>
      <c r="J65" s="42"/>
      <c r="K65" s="42"/>
      <c r="L65" s="42"/>
      <c r="M65" s="42"/>
    </row>
    <row r="66" hidden="1">
      <c r="A66" s="44">
        <v>45183.0</v>
      </c>
      <c r="B66" s="40" t="s">
        <v>22</v>
      </c>
      <c r="C66" s="41">
        <v>46.89</v>
      </c>
      <c r="D66" s="41" t="s">
        <v>154</v>
      </c>
      <c r="E66" s="41"/>
      <c r="G66" s="42"/>
      <c r="H66" s="42"/>
      <c r="I66" s="42"/>
      <c r="J66" s="42"/>
      <c r="K66" s="42"/>
      <c r="L66" s="42"/>
      <c r="M66" s="42"/>
    </row>
    <row r="67" hidden="1">
      <c r="A67" s="44">
        <v>45179.0</v>
      </c>
      <c r="B67" s="40" t="s">
        <v>15</v>
      </c>
      <c r="C67" s="41">
        <v>51.09</v>
      </c>
      <c r="D67" s="41" t="s">
        <v>155</v>
      </c>
      <c r="E67" s="41"/>
      <c r="G67" s="42"/>
      <c r="H67" s="42"/>
      <c r="I67" s="42"/>
      <c r="J67" s="42"/>
      <c r="K67" s="42"/>
      <c r="L67" s="42"/>
      <c r="M67" s="42"/>
    </row>
    <row r="68" hidden="1">
      <c r="A68" s="44">
        <v>45191.0</v>
      </c>
      <c r="B68" s="40" t="s">
        <v>24</v>
      </c>
      <c r="C68" s="41">
        <v>7.99</v>
      </c>
      <c r="D68" s="41" t="s">
        <v>142</v>
      </c>
      <c r="E68" s="41"/>
      <c r="G68" s="42"/>
      <c r="H68" s="42"/>
      <c r="I68" s="42"/>
      <c r="J68" s="42"/>
      <c r="K68" s="42"/>
      <c r="L68" s="42"/>
      <c r="M68" s="42"/>
    </row>
    <row r="69" hidden="1">
      <c r="A69" s="44">
        <v>45186.0</v>
      </c>
      <c r="B69" s="40" t="s">
        <v>15</v>
      </c>
      <c r="C69" s="41">
        <f>24.83+4.31</f>
        <v>29.14</v>
      </c>
      <c r="D69" s="41" t="s">
        <v>156</v>
      </c>
      <c r="E69" s="41"/>
      <c r="G69" s="42"/>
      <c r="H69" s="42"/>
      <c r="I69" s="42"/>
      <c r="J69" s="42"/>
      <c r="K69" s="42"/>
      <c r="L69" s="42"/>
      <c r="M69" s="42"/>
    </row>
    <row r="70" hidden="1">
      <c r="A70" s="44">
        <v>45192.0</v>
      </c>
      <c r="B70" s="40" t="s">
        <v>19</v>
      </c>
      <c r="C70" s="41">
        <v>22.21</v>
      </c>
      <c r="D70" s="41" t="s">
        <v>157</v>
      </c>
      <c r="E70" s="41"/>
      <c r="G70" s="42"/>
      <c r="H70" s="42"/>
      <c r="I70" s="42"/>
      <c r="J70" s="42"/>
      <c r="K70" s="42"/>
      <c r="L70" s="42"/>
      <c r="M70" s="42"/>
    </row>
    <row r="71" hidden="1">
      <c r="A71" s="44">
        <v>45193.0</v>
      </c>
      <c r="B71" s="40" t="s">
        <v>15</v>
      </c>
      <c r="C71" s="41">
        <v>24.56</v>
      </c>
      <c r="D71" s="41" t="s">
        <v>110</v>
      </c>
      <c r="E71" s="41"/>
      <c r="G71" s="42"/>
      <c r="H71" s="42"/>
      <c r="I71" s="42"/>
      <c r="J71" s="42"/>
      <c r="K71" s="42"/>
      <c r="L71" s="42"/>
      <c r="M71" s="42"/>
    </row>
    <row r="72" hidden="1">
      <c r="A72" s="44">
        <v>45193.0</v>
      </c>
      <c r="B72" s="40" t="s">
        <v>15</v>
      </c>
      <c r="C72" s="41">
        <v>182.39</v>
      </c>
      <c r="D72" s="41" t="s">
        <v>47</v>
      </c>
      <c r="E72" s="41"/>
      <c r="G72" s="42"/>
      <c r="H72" s="42"/>
      <c r="I72" s="42"/>
      <c r="J72" s="42"/>
      <c r="K72" s="42"/>
      <c r="L72" s="42"/>
      <c r="M72" s="42"/>
    </row>
    <row r="73" hidden="1">
      <c r="A73" s="44">
        <v>45193.0</v>
      </c>
      <c r="B73" s="40" t="s">
        <v>22</v>
      </c>
      <c r="C73" s="41">
        <v>32.59</v>
      </c>
      <c r="D73" s="41" t="s">
        <v>47</v>
      </c>
      <c r="E73" s="41"/>
      <c r="G73" s="42"/>
      <c r="H73" s="42"/>
      <c r="I73" s="42"/>
      <c r="J73" s="42"/>
      <c r="K73" s="42"/>
      <c r="L73" s="42"/>
      <c r="M73" s="42"/>
    </row>
    <row r="74" hidden="1">
      <c r="A74" s="44">
        <v>45199.0</v>
      </c>
      <c r="B74" s="40" t="s">
        <v>15</v>
      </c>
      <c r="C74" s="41">
        <v>101.55</v>
      </c>
      <c r="D74" s="41" t="s">
        <v>131</v>
      </c>
      <c r="E74" s="41"/>
      <c r="G74" s="42"/>
      <c r="H74" s="42"/>
      <c r="I74" s="42"/>
      <c r="J74" s="42"/>
      <c r="K74" s="42"/>
      <c r="L74" s="42"/>
      <c r="M74" s="42"/>
    </row>
    <row r="75" hidden="1">
      <c r="A75" s="44">
        <v>45199.0</v>
      </c>
      <c r="B75" s="40" t="s">
        <v>17</v>
      </c>
      <c r="C75" s="41">
        <v>37.89</v>
      </c>
      <c r="D75" s="41" t="s">
        <v>61</v>
      </c>
      <c r="E75" s="41" t="s">
        <v>158</v>
      </c>
      <c r="G75" s="42"/>
      <c r="H75" s="42"/>
      <c r="I75" s="42"/>
      <c r="J75" s="42"/>
      <c r="K75" s="42"/>
      <c r="L75" s="42"/>
      <c r="M75" s="42"/>
    </row>
    <row r="76" hidden="1">
      <c r="A76" s="44">
        <v>45193.0</v>
      </c>
      <c r="B76" s="40" t="s">
        <v>15</v>
      </c>
      <c r="C76" s="41">
        <v>14.42</v>
      </c>
      <c r="D76" s="41" t="s">
        <v>159</v>
      </c>
      <c r="E76" s="41"/>
      <c r="G76" s="42"/>
      <c r="H76" s="42"/>
      <c r="I76" s="42"/>
      <c r="J76" s="42"/>
      <c r="K76" s="42"/>
      <c r="L76" s="42"/>
      <c r="M76" s="42"/>
    </row>
    <row r="77">
      <c r="A77" s="44">
        <v>45194.0</v>
      </c>
      <c r="B77" s="40" t="s">
        <v>25</v>
      </c>
      <c r="C77" s="41">
        <v>160.0</v>
      </c>
      <c r="D77" s="41" t="s">
        <v>160</v>
      </c>
      <c r="E77" s="41"/>
      <c r="G77" s="42"/>
      <c r="H77" s="42"/>
      <c r="I77" s="42"/>
      <c r="J77" s="42"/>
      <c r="K77" s="42"/>
      <c r="L77" s="42"/>
      <c r="M77" s="42"/>
    </row>
    <row r="78" hidden="1">
      <c r="A78" s="44">
        <v>45199.0</v>
      </c>
      <c r="B78" s="40" t="s">
        <v>79</v>
      </c>
      <c r="C78" s="41">
        <v>20.6</v>
      </c>
      <c r="D78" s="41" t="s">
        <v>161</v>
      </c>
      <c r="E78" s="41"/>
      <c r="G78" s="42"/>
      <c r="H78" s="42"/>
      <c r="I78" s="42"/>
      <c r="J78" s="42"/>
      <c r="K78" s="42"/>
      <c r="L78" s="42"/>
      <c r="M78" s="42"/>
    </row>
    <row r="79">
      <c r="A79" s="44"/>
      <c r="B79" s="40"/>
      <c r="C79" s="41"/>
      <c r="D79" s="41"/>
      <c r="E79" s="41"/>
      <c r="G79" s="42"/>
      <c r="H79" s="42"/>
      <c r="I79" s="42"/>
      <c r="J79" s="42"/>
      <c r="K79" s="42"/>
      <c r="L79" s="42"/>
      <c r="M79" s="42"/>
    </row>
    <row r="80">
      <c r="A80" s="44"/>
      <c r="B80" s="40"/>
      <c r="C80" s="41"/>
      <c r="D80" s="41"/>
      <c r="E80" s="41"/>
      <c r="G80" s="42"/>
      <c r="H80" s="42"/>
      <c r="I80" s="42"/>
      <c r="J80" s="42"/>
      <c r="K80" s="42"/>
      <c r="L80" s="42"/>
      <c r="M80" s="42"/>
    </row>
    <row r="81">
      <c r="A81" s="44"/>
      <c r="B81" s="40"/>
      <c r="C81" s="41"/>
      <c r="D81" s="41"/>
      <c r="E81" s="41"/>
      <c r="G81" s="42"/>
      <c r="H81" s="42"/>
      <c r="I81" s="42"/>
      <c r="J81" s="42"/>
      <c r="K81" s="42"/>
      <c r="L81" s="42"/>
      <c r="M81" s="42"/>
    </row>
    <row r="82">
      <c r="A82" s="44"/>
      <c r="B82" s="40"/>
      <c r="C82" s="41"/>
      <c r="D82" s="41"/>
      <c r="E82" s="41"/>
      <c r="G82" s="42"/>
      <c r="H82" s="42"/>
      <c r="I82" s="42"/>
      <c r="J82" s="42"/>
      <c r="K82" s="42"/>
      <c r="L82" s="42"/>
      <c r="M82" s="42"/>
    </row>
    <row r="83">
      <c r="A83" s="44"/>
      <c r="B83" s="40"/>
      <c r="C83" s="41"/>
      <c r="D83" s="41"/>
      <c r="E83" s="41"/>
      <c r="G83" s="42"/>
      <c r="H83" s="42"/>
      <c r="I83" s="42"/>
      <c r="J83" s="42"/>
      <c r="K83" s="42"/>
      <c r="L83" s="42"/>
      <c r="M83" s="42"/>
    </row>
    <row r="84">
      <c r="A84" s="44"/>
      <c r="B84" s="40"/>
      <c r="C84" s="41"/>
      <c r="D84" s="41"/>
      <c r="E84" s="41"/>
      <c r="G84" s="42"/>
      <c r="H84" s="42"/>
      <c r="I84" s="42"/>
      <c r="J84" s="42"/>
      <c r="K84" s="42"/>
      <c r="L84" s="42"/>
      <c r="M84" s="42"/>
    </row>
    <row r="85">
      <c r="A85" s="44"/>
      <c r="B85" s="40"/>
      <c r="C85" s="41"/>
      <c r="D85" s="41"/>
      <c r="E85" s="41"/>
      <c r="G85" s="42"/>
      <c r="H85" s="42"/>
      <c r="I85" s="42"/>
      <c r="J85" s="42"/>
      <c r="K85" s="42"/>
      <c r="L85" s="42"/>
      <c r="M85" s="42"/>
    </row>
    <row r="86">
      <c r="A86" s="44"/>
      <c r="B86" s="40"/>
      <c r="C86" s="41"/>
      <c r="D86" s="41"/>
      <c r="E86" s="41"/>
      <c r="G86" s="42"/>
      <c r="H86" s="42"/>
      <c r="I86" s="42"/>
      <c r="J86" s="42"/>
      <c r="K86" s="42"/>
      <c r="L86" s="42"/>
      <c r="M86" s="42"/>
    </row>
    <row r="87">
      <c r="A87" s="44"/>
      <c r="B87" s="40"/>
      <c r="C87" s="41"/>
      <c r="D87" s="41"/>
      <c r="E87" s="41"/>
      <c r="G87" s="42"/>
      <c r="H87" s="42"/>
      <c r="I87" s="42"/>
      <c r="J87" s="42"/>
      <c r="K87" s="42"/>
      <c r="L87" s="42"/>
      <c r="M87" s="42"/>
    </row>
    <row r="88">
      <c r="A88" s="44"/>
      <c r="B88" s="40"/>
      <c r="C88" s="41"/>
      <c r="D88" s="41"/>
      <c r="E88" s="41"/>
      <c r="G88" s="42"/>
      <c r="H88" s="42"/>
      <c r="I88" s="42"/>
      <c r="J88" s="42"/>
      <c r="K88" s="42"/>
      <c r="L88" s="42"/>
      <c r="M88" s="42"/>
    </row>
    <row r="89">
      <c r="A89" s="44"/>
      <c r="B89" s="40"/>
      <c r="C89" s="41"/>
      <c r="D89" s="41"/>
      <c r="E89" s="41"/>
      <c r="G89" s="42"/>
      <c r="H89" s="42"/>
      <c r="I89" s="42"/>
      <c r="J89" s="42"/>
      <c r="K89" s="42"/>
      <c r="L89" s="42"/>
      <c r="M89" s="42"/>
    </row>
    <row r="90">
      <c r="A90" s="44"/>
      <c r="B90" s="40"/>
      <c r="C90" s="41"/>
      <c r="D90" s="41"/>
      <c r="E90" s="41"/>
      <c r="G90" s="42"/>
      <c r="H90" s="42"/>
      <c r="I90" s="42"/>
      <c r="J90" s="42"/>
      <c r="K90" s="42"/>
      <c r="L90" s="42"/>
      <c r="M90" s="42"/>
    </row>
    <row r="91">
      <c r="A91" s="44"/>
      <c r="B91" s="40"/>
      <c r="C91" s="41"/>
      <c r="D91" s="41"/>
      <c r="E91" s="41"/>
      <c r="G91" s="42"/>
      <c r="H91" s="42"/>
      <c r="I91" s="42"/>
      <c r="J91" s="42"/>
      <c r="K91" s="42"/>
      <c r="L91" s="42"/>
      <c r="M91" s="42"/>
    </row>
    <row r="92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</sheetData>
  <autoFilter ref="$A$31:$D$78">
    <filterColumn colId="1">
      <filters>
        <filter val="Fun / Misc"/>
        <filter val="Eating Out"/>
      </filters>
    </filterColumn>
  </autoFilter>
  <mergeCells count="4">
    <mergeCell ref="A1:H2"/>
    <mergeCell ref="A4:D4"/>
    <mergeCell ref="G4:H4"/>
    <mergeCell ref="J4:M4"/>
  </mergeCells>
  <conditionalFormatting sqref="D6:E16">
    <cfRule type="cellIs" dxfId="0" priority="1" operator="greaterThan">
      <formula>0</formula>
    </cfRule>
  </conditionalFormatting>
  <conditionalFormatting sqref="D6:D15 E6:E16">
    <cfRule type="cellIs" dxfId="1" priority="2" operator="lessThan">
      <formula>0</formula>
    </cfRule>
  </conditionalFormatting>
  <dataValidations>
    <dataValidation type="list" allowBlank="1" sqref="B20:B101">
      <formula1>'Hidden list and Figures'!$A$3:$A$15</formula1>
    </dataValidation>
    <dataValidation type="custom" allowBlank="1" showDropDown="1" showInputMessage="1" prompt="Select a date" sqref="A32:A101">
      <formula1>OR(NOT(ISERROR(DATEVALUE(A32))), AND(ISNUMBER(A32), LEFT(CELL("format", A32))="D"))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4" width="10.25"/>
  </cols>
  <sheetData>
    <row r="1">
      <c r="AH1" s="49"/>
      <c r="AP1" s="49"/>
    </row>
    <row r="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I2" s="51" t="s">
        <v>162</v>
      </c>
      <c r="AJ2" s="50"/>
      <c r="AK2" s="50"/>
      <c r="AL2" s="50"/>
      <c r="AM2" s="50"/>
      <c r="AN2" s="50"/>
      <c r="AO2" s="50"/>
      <c r="AQ2" s="51" t="s">
        <v>163</v>
      </c>
      <c r="AR2" s="50"/>
    </row>
    <row r="3">
      <c r="H3" s="19" t="s">
        <v>164</v>
      </c>
      <c r="I3" s="19" t="s">
        <v>165</v>
      </c>
      <c r="J3" s="19" t="s">
        <v>166</v>
      </c>
      <c r="K3" s="19" t="s">
        <v>167</v>
      </c>
      <c r="L3" s="19" t="s">
        <v>168</v>
      </c>
      <c r="M3" s="19" t="s">
        <v>169</v>
      </c>
      <c r="N3" s="19" t="s">
        <v>170</v>
      </c>
      <c r="O3" s="19" t="s">
        <v>171</v>
      </c>
      <c r="P3" s="19" t="s">
        <v>172</v>
      </c>
      <c r="Q3" s="19" t="s">
        <v>173</v>
      </c>
      <c r="R3" s="19" t="s">
        <v>174</v>
      </c>
      <c r="S3" s="19" t="s">
        <v>175</v>
      </c>
      <c r="T3" s="19" t="s">
        <v>176</v>
      </c>
      <c r="U3" s="19" t="s">
        <v>177</v>
      </c>
      <c r="V3" s="19" t="s">
        <v>178</v>
      </c>
      <c r="W3" s="19" t="s">
        <v>179</v>
      </c>
      <c r="X3" s="19" t="s">
        <v>180</v>
      </c>
      <c r="Y3" s="19" t="s">
        <v>181</v>
      </c>
      <c r="Z3" s="19" t="s">
        <v>182</v>
      </c>
      <c r="AA3" s="19" t="s">
        <v>183</v>
      </c>
      <c r="AB3" s="19" t="s">
        <v>184</v>
      </c>
      <c r="AC3" s="19" t="s">
        <v>185</v>
      </c>
      <c r="AD3" s="19" t="s">
        <v>186</v>
      </c>
      <c r="AE3" s="19" t="s">
        <v>187</v>
      </c>
      <c r="AF3" s="19" t="s">
        <v>188</v>
      </c>
      <c r="AG3" s="19" t="s">
        <v>189</v>
      </c>
      <c r="AH3" s="51" t="s">
        <v>190</v>
      </c>
      <c r="AI3" s="19" t="s">
        <v>191</v>
      </c>
      <c r="AJ3" s="19" t="s">
        <v>192</v>
      </c>
      <c r="AK3" s="19" t="s">
        <v>193</v>
      </c>
      <c r="AL3" s="19" t="s">
        <v>194</v>
      </c>
      <c r="AM3" s="19" t="s">
        <v>195</v>
      </c>
      <c r="AN3" s="19" t="s">
        <v>196</v>
      </c>
      <c r="AO3" s="19" t="s">
        <v>197</v>
      </c>
      <c r="AP3" s="51" t="s">
        <v>198</v>
      </c>
      <c r="AQ3" s="19" t="s">
        <v>199</v>
      </c>
      <c r="AR3" s="19"/>
    </row>
    <row r="4">
      <c r="A4" s="52"/>
      <c r="B4" s="52">
        <v>45323.0</v>
      </c>
      <c r="C4" s="52">
        <v>45352.0</v>
      </c>
      <c r="D4" s="52">
        <v>45383.0</v>
      </c>
      <c r="E4" s="52">
        <v>45413.0</v>
      </c>
      <c r="F4" s="52">
        <v>45444.0</v>
      </c>
      <c r="G4" s="52">
        <v>45474.0</v>
      </c>
      <c r="H4" s="52">
        <v>45505.0</v>
      </c>
      <c r="I4" s="52">
        <v>45536.0</v>
      </c>
      <c r="J4" s="52">
        <v>45566.0</v>
      </c>
      <c r="K4" s="52">
        <v>45597.0</v>
      </c>
      <c r="L4" s="52">
        <v>45627.0</v>
      </c>
      <c r="M4" s="52">
        <v>45658.0</v>
      </c>
      <c r="N4" s="52">
        <v>45689.0</v>
      </c>
      <c r="O4" s="52">
        <v>45717.0</v>
      </c>
      <c r="P4" s="52">
        <v>45748.0</v>
      </c>
      <c r="Q4" s="52">
        <v>45778.0</v>
      </c>
      <c r="R4" s="52">
        <v>45809.0</v>
      </c>
      <c r="S4" s="52">
        <v>45839.0</v>
      </c>
      <c r="T4" s="52">
        <v>45870.0</v>
      </c>
      <c r="U4" s="52">
        <v>45901.0</v>
      </c>
      <c r="V4" s="52">
        <v>45931.0</v>
      </c>
      <c r="W4" s="52">
        <v>45962.0</v>
      </c>
      <c r="X4" s="52">
        <v>45992.0</v>
      </c>
      <c r="Y4" s="52">
        <v>46023.0</v>
      </c>
      <c r="Z4" s="52">
        <v>46054.0</v>
      </c>
      <c r="AA4" s="52">
        <v>46082.0</v>
      </c>
      <c r="AB4" s="52">
        <v>46113.0</v>
      </c>
      <c r="AC4" s="52">
        <v>46143.0</v>
      </c>
      <c r="AD4" s="52">
        <v>46174.0</v>
      </c>
      <c r="AE4" s="52">
        <v>46204.0</v>
      </c>
      <c r="AF4" s="52">
        <v>46235.0</v>
      </c>
      <c r="AG4" s="52">
        <v>46266.0</v>
      </c>
      <c r="AH4" s="53">
        <v>46296.0</v>
      </c>
      <c r="AI4" s="52">
        <v>46327.0</v>
      </c>
      <c r="AJ4" s="52">
        <v>46357.0</v>
      </c>
      <c r="AK4" s="52">
        <v>46388.0</v>
      </c>
      <c r="AL4" s="52">
        <v>46419.0</v>
      </c>
      <c r="AM4" s="52">
        <v>46447.0</v>
      </c>
      <c r="AN4" s="52">
        <v>46478.0</v>
      </c>
      <c r="AO4" s="52">
        <v>46508.0</v>
      </c>
      <c r="AP4" s="53">
        <v>46539.0</v>
      </c>
      <c r="AQ4" s="52">
        <v>46569.0</v>
      </c>
      <c r="AR4" s="52"/>
    </row>
    <row r="5">
      <c r="A5" s="19" t="s">
        <v>200</v>
      </c>
      <c r="C5" s="54" t="s">
        <v>201</v>
      </c>
      <c r="H5" s="55"/>
      <c r="I5" s="55"/>
      <c r="J5" s="56" t="s">
        <v>202</v>
      </c>
      <c r="K5" s="56" t="s">
        <v>203</v>
      </c>
      <c r="R5" s="56" t="s">
        <v>204</v>
      </c>
      <c r="S5" s="19" t="s">
        <v>205</v>
      </c>
      <c r="T5" s="19" t="s">
        <v>206</v>
      </c>
      <c r="U5" s="19" t="s">
        <v>207</v>
      </c>
      <c r="V5" s="19" t="s">
        <v>208</v>
      </c>
      <c r="W5" s="19" t="s">
        <v>209</v>
      </c>
      <c r="X5" s="19" t="s">
        <v>210</v>
      </c>
      <c r="Y5" s="19" t="s">
        <v>211</v>
      </c>
      <c r="Z5" s="19" t="s">
        <v>212</v>
      </c>
      <c r="AA5" s="19" t="s">
        <v>213</v>
      </c>
      <c r="AB5" s="19" t="s">
        <v>214</v>
      </c>
      <c r="AC5" s="19" t="s">
        <v>215</v>
      </c>
      <c r="AD5" s="19" t="s">
        <v>216</v>
      </c>
      <c r="AE5" s="19" t="s">
        <v>217</v>
      </c>
      <c r="AF5" s="19" t="s">
        <v>218</v>
      </c>
      <c r="AG5" s="19" t="s">
        <v>219</v>
      </c>
      <c r="AH5" s="51" t="s">
        <v>220</v>
      </c>
      <c r="AI5" s="19" t="s">
        <v>221</v>
      </c>
      <c r="AJ5" s="19" t="s">
        <v>222</v>
      </c>
      <c r="AK5" s="19" t="s">
        <v>223</v>
      </c>
      <c r="AL5" s="19" t="s">
        <v>224</v>
      </c>
      <c r="AM5" s="19" t="s">
        <v>225</v>
      </c>
      <c r="AN5" s="19" t="s">
        <v>226</v>
      </c>
      <c r="AO5" s="19" t="s">
        <v>227</v>
      </c>
      <c r="AP5" s="51" t="s">
        <v>228</v>
      </c>
      <c r="AQ5" s="19" t="s">
        <v>229</v>
      </c>
      <c r="AR5" s="19"/>
    </row>
    <row r="6">
      <c r="A6" s="19" t="s">
        <v>230</v>
      </c>
      <c r="C6" s="54" t="s">
        <v>231</v>
      </c>
      <c r="D6" s="54"/>
      <c r="E6" s="54"/>
      <c r="F6" s="54"/>
      <c r="G6" s="54"/>
      <c r="H6" s="55"/>
      <c r="I6" s="55"/>
      <c r="J6" s="56"/>
      <c r="K6" s="56" t="s">
        <v>232</v>
      </c>
      <c r="L6" s="56" t="s">
        <v>232</v>
      </c>
      <c r="M6" s="56" t="s">
        <v>232</v>
      </c>
      <c r="N6" s="56" t="s">
        <v>232</v>
      </c>
      <c r="O6" s="56" t="s">
        <v>232</v>
      </c>
      <c r="P6" s="56" t="s">
        <v>232</v>
      </c>
      <c r="Q6" s="56" t="s">
        <v>232</v>
      </c>
      <c r="R6" s="56" t="s">
        <v>232</v>
      </c>
      <c r="S6" s="19" t="s">
        <v>233</v>
      </c>
      <c r="T6" s="19" t="s">
        <v>233</v>
      </c>
      <c r="U6" s="19" t="s">
        <v>233</v>
      </c>
      <c r="V6" s="19" t="s">
        <v>233</v>
      </c>
      <c r="W6" s="19" t="s">
        <v>233</v>
      </c>
      <c r="X6" s="19" t="s">
        <v>233</v>
      </c>
      <c r="Y6" s="19" t="s">
        <v>233</v>
      </c>
      <c r="Z6" s="19" t="s">
        <v>233</v>
      </c>
      <c r="AA6" s="19" t="s">
        <v>233</v>
      </c>
      <c r="AB6" s="19" t="s">
        <v>233</v>
      </c>
      <c r="AC6" s="19" t="s">
        <v>233</v>
      </c>
      <c r="AD6" s="19" t="s">
        <v>233</v>
      </c>
      <c r="AE6" s="19" t="s">
        <v>233</v>
      </c>
      <c r="AF6" s="19" t="s">
        <v>233</v>
      </c>
      <c r="AG6" s="19" t="s">
        <v>233</v>
      </c>
      <c r="AH6" s="51" t="s">
        <v>233</v>
      </c>
      <c r="AI6" s="19" t="s">
        <v>233</v>
      </c>
      <c r="AJ6" s="19" t="s">
        <v>233</v>
      </c>
      <c r="AK6" s="19" t="s">
        <v>233</v>
      </c>
      <c r="AL6" s="19" t="s">
        <v>233</v>
      </c>
      <c r="AM6" s="19" t="s">
        <v>233</v>
      </c>
      <c r="AN6" s="19" t="s">
        <v>233</v>
      </c>
      <c r="AO6" s="19" t="s">
        <v>233</v>
      </c>
      <c r="AP6" s="51" t="s">
        <v>233</v>
      </c>
      <c r="AQ6" s="19"/>
      <c r="AR6" s="19"/>
    </row>
    <row r="7">
      <c r="A7" s="19" t="s">
        <v>65</v>
      </c>
      <c r="C7" s="54"/>
      <c r="D7" s="54"/>
      <c r="E7" s="54"/>
      <c r="F7" s="54"/>
      <c r="G7" s="54"/>
      <c r="H7" s="57" t="s">
        <v>234</v>
      </c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E7" s="19" t="s">
        <v>235</v>
      </c>
      <c r="AH7" s="49"/>
      <c r="AP7" s="49"/>
    </row>
    <row r="8">
      <c r="A8" s="19" t="s">
        <v>236</v>
      </c>
      <c r="C8" s="54" t="s">
        <v>231</v>
      </c>
      <c r="D8" s="54"/>
      <c r="E8" s="54"/>
      <c r="F8" s="54"/>
      <c r="G8" s="54"/>
      <c r="H8" s="57" t="s">
        <v>237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E8" s="19" t="s">
        <v>238</v>
      </c>
      <c r="AF8" s="19" t="s">
        <v>238</v>
      </c>
      <c r="AG8" s="19" t="s">
        <v>238</v>
      </c>
      <c r="AH8" s="19" t="s">
        <v>238</v>
      </c>
      <c r="AI8" s="19" t="s">
        <v>238</v>
      </c>
      <c r="AJ8" s="19" t="s">
        <v>238</v>
      </c>
      <c r="AK8" s="19" t="s">
        <v>238</v>
      </c>
      <c r="AL8" s="19" t="s">
        <v>238</v>
      </c>
      <c r="AM8" s="19" t="s">
        <v>238</v>
      </c>
      <c r="AN8" s="19" t="s">
        <v>238</v>
      </c>
      <c r="AO8" s="19" t="s">
        <v>238</v>
      </c>
      <c r="AP8" s="19" t="s">
        <v>238</v>
      </c>
      <c r="AQ8" s="19" t="s">
        <v>238</v>
      </c>
      <c r="AR8" s="19" t="s">
        <v>238</v>
      </c>
    </row>
    <row r="9">
      <c r="AH9" s="49"/>
      <c r="AP9" s="49"/>
    </row>
    <row r="10">
      <c r="AH10" s="49"/>
      <c r="AP10" s="49"/>
    </row>
    <row r="11">
      <c r="AH11" s="49"/>
      <c r="AP11" s="49"/>
    </row>
    <row r="12">
      <c r="AH12" s="49"/>
      <c r="AP12" s="49"/>
    </row>
    <row r="13">
      <c r="AH13" s="49"/>
      <c r="AP13" s="49"/>
    </row>
    <row r="14">
      <c r="AH14" s="49"/>
      <c r="AP14" s="49"/>
    </row>
    <row r="15">
      <c r="AH15" s="49"/>
      <c r="AP15" s="49"/>
    </row>
    <row r="16">
      <c r="AH16" s="49"/>
      <c r="AP16" s="49"/>
    </row>
    <row r="17">
      <c r="AH17" s="49"/>
      <c r="AP17" s="49"/>
    </row>
    <row r="18">
      <c r="AH18" s="49"/>
      <c r="AP18" s="49"/>
    </row>
    <row r="19">
      <c r="AH19" s="49"/>
      <c r="AP19" s="49"/>
    </row>
    <row r="20">
      <c r="AH20" s="49"/>
      <c r="AP20" s="49"/>
    </row>
    <row r="21">
      <c r="AH21" s="49"/>
      <c r="AP21" s="49"/>
    </row>
    <row r="22">
      <c r="AH22" s="49"/>
      <c r="AP22" s="49"/>
    </row>
    <row r="23">
      <c r="AH23" s="49"/>
      <c r="AP23" s="49"/>
    </row>
    <row r="24">
      <c r="AH24" s="49"/>
      <c r="AP24" s="49"/>
    </row>
    <row r="25">
      <c r="AH25" s="49"/>
      <c r="AP25" s="49"/>
    </row>
    <row r="26">
      <c r="AH26" s="49"/>
      <c r="AP26" s="49"/>
    </row>
    <row r="27">
      <c r="AH27" s="49"/>
      <c r="AP27" s="49"/>
    </row>
    <row r="28">
      <c r="AH28" s="49"/>
      <c r="AP28" s="49"/>
    </row>
    <row r="29">
      <c r="AH29" s="49"/>
      <c r="AP29" s="49"/>
    </row>
    <row r="30">
      <c r="AH30" s="49"/>
      <c r="AP30" s="49"/>
    </row>
    <row r="31">
      <c r="AH31" s="49"/>
      <c r="AP31" s="49"/>
    </row>
    <row r="32">
      <c r="AH32" s="49"/>
      <c r="AP32" s="49"/>
    </row>
    <row r="33">
      <c r="AH33" s="49"/>
      <c r="AP33" s="49"/>
    </row>
    <row r="34">
      <c r="AH34" s="49"/>
      <c r="AP34" s="49"/>
    </row>
    <row r="35">
      <c r="AH35" s="49"/>
      <c r="AP35" s="49"/>
    </row>
    <row r="36">
      <c r="AH36" s="49"/>
      <c r="AP36" s="49"/>
    </row>
    <row r="37">
      <c r="AH37" s="49"/>
      <c r="AP37" s="49"/>
    </row>
    <row r="38">
      <c r="AH38" s="49"/>
      <c r="AP38" s="49"/>
    </row>
    <row r="39">
      <c r="AH39" s="49"/>
      <c r="AP39" s="49"/>
    </row>
    <row r="40">
      <c r="AH40" s="49"/>
      <c r="AP40" s="49"/>
    </row>
    <row r="41">
      <c r="AH41" s="49"/>
      <c r="AP41" s="49"/>
    </row>
    <row r="42">
      <c r="AH42" s="49"/>
      <c r="AP42" s="49"/>
    </row>
    <row r="43">
      <c r="AH43" s="49"/>
      <c r="AP43" s="49"/>
    </row>
    <row r="44">
      <c r="AH44" s="49"/>
      <c r="AP44" s="49"/>
    </row>
    <row r="45">
      <c r="AH45" s="49"/>
      <c r="AP45" s="49"/>
    </row>
    <row r="46">
      <c r="AH46" s="49"/>
      <c r="AP46" s="49"/>
    </row>
    <row r="47">
      <c r="AH47" s="49"/>
      <c r="AP47" s="49"/>
    </row>
    <row r="48">
      <c r="AH48" s="49"/>
      <c r="AP48" s="49"/>
    </row>
    <row r="49">
      <c r="AH49" s="49"/>
      <c r="AP49" s="49"/>
    </row>
    <row r="50">
      <c r="AH50" s="49"/>
      <c r="AP50" s="49"/>
    </row>
    <row r="51">
      <c r="AH51" s="49"/>
      <c r="AP51" s="49"/>
    </row>
    <row r="52">
      <c r="AH52" s="49"/>
      <c r="AP52" s="49"/>
    </row>
    <row r="53">
      <c r="AH53" s="49"/>
      <c r="AP53" s="49"/>
    </row>
    <row r="54">
      <c r="AH54" s="49"/>
      <c r="AP54" s="49"/>
    </row>
    <row r="55">
      <c r="AH55" s="49"/>
      <c r="AP55" s="49"/>
    </row>
    <row r="56">
      <c r="AH56" s="49"/>
      <c r="AP56" s="49"/>
    </row>
    <row r="57">
      <c r="AH57" s="49"/>
      <c r="AP57" s="49"/>
    </row>
    <row r="58">
      <c r="AH58" s="49"/>
      <c r="AP58" s="49"/>
    </row>
    <row r="59">
      <c r="AH59" s="49"/>
      <c r="AP59" s="49"/>
    </row>
    <row r="60">
      <c r="AH60" s="49"/>
      <c r="AP60" s="49"/>
    </row>
    <row r="61">
      <c r="AH61" s="49"/>
      <c r="AP61" s="49"/>
    </row>
    <row r="62">
      <c r="AH62" s="49"/>
      <c r="AP62" s="49"/>
    </row>
    <row r="63">
      <c r="AH63" s="49"/>
      <c r="AP63" s="49"/>
    </row>
    <row r="64">
      <c r="AH64" s="49"/>
      <c r="AP64" s="49"/>
    </row>
    <row r="65">
      <c r="AH65" s="49"/>
      <c r="AP65" s="49"/>
    </row>
    <row r="66">
      <c r="AH66" s="49"/>
      <c r="AP66" s="49"/>
    </row>
    <row r="67">
      <c r="AH67" s="49"/>
      <c r="AP67" s="49"/>
    </row>
    <row r="68">
      <c r="AH68" s="49"/>
      <c r="AP68" s="49"/>
    </row>
    <row r="69">
      <c r="AH69" s="49"/>
      <c r="AP69" s="49"/>
    </row>
    <row r="70">
      <c r="AH70" s="49"/>
      <c r="AP70" s="49"/>
    </row>
    <row r="71">
      <c r="AH71" s="49"/>
      <c r="AP71" s="49"/>
    </row>
    <row r="72">
      <c r="AH72" s="49"/>
      <c r="AP72" s="49"/>
    </row>
    <row r="73">
      <c r="AH73" s="49"/>
      <c r="AP73" s="49"/>
    </row>
    <row r="74">
      <c r="AH74" s="49"/>
      <c r="AP74" s="49"/>
    </row>
    <row r="75">
      <c r="AH75" s="49"/>
      <c r="AP75" s="49"/>
    </row>
    <row r="76">
      <c r="AH76" s="49"/>
      <c r="AP76" s="49"/>
    </row>
    <row r="77">
      <c r="AH77" s="49"/>
      <c r="AP77" s="49"/>
    </row>
    <row r="78">
      <c r="AH78" s="49"/>
      <c r="AP78" s="49"/>
    </row>
    <row r="79">
      <c r="AH79" s="49"/>
      <c r="AP79" s="49"/>
    </row>
    <row r="80">
      <c r="AH80" s="49"/>
      <c r="AP80" s="49"/>
    </row>
    <row r="81">
      <c r="AH81" s="49"/>
      <c r="AP81" s="49"/>
    </row>
    <row r="82">
      <c r="AH82" s="49"/>
      <c r="AP82" s="49"/>
    </row>
    <row r="83">
      <c r="AH83" s="49"/>
      <c r="AP83" s="49"/>
    </row>
    <row r="84">
      <c r="AH84" s="49"/>
      <c r="AP84" s="49"/>
    </row>
    <row r="85">
      <c r="AH85" s="49"/>
      <c r="AP85" s="49"/>
    </row>
    <row r="86">
      <c r="AH86" s="49"/>
      <c r="AP86" s="49"/>
    </row>
    <row r="87">
      <c r="AH87" s="49"/>
      <c r="AP87" s="49"/>
    </row>
    <row r="88">
      <c r="AH88" s="49"/>
      <c r="AP88" s="49"/>
    </row>
    <row r="89">
      <c r="AH89" s="49"/>
      <c r="AP89" s="49"/>
    </row>
    <row r="90">
      <c r="AH90" s="49"/>
      <c r="AP90" s="49"/>
    </row>
    <row r="91">
      <c r="AH91" s="49"/>
      <c r="AP91" s="49"/>
    </row>
    <row r="92">
      <c r="AH92" s="49"/>
      <c r="AP92" s="49"/>
    </row>
    <row r="93">
      <c r="AH93" s="49"/>
      <c r="AP93" s="49"/>
    </row>
    <row r="94">
      <c r="AH94" s="49"/>
      <c r="AP94" s="49"/>
    </row>
    <row r="95">
      <c r="AH95" s="49"/>
      <c r="AP95" s="49"/>
    </row>
    <row r="96">
      <c r="AH96" s="49"/>
      <c r="AP96" s="49"/>
    </row>
    <row r="97">
      <c r="AH97" s="49"/>
      <c r="AP97" s="49"/>
    </row>
    <row r="98">
      <c r="AH98" s="49"/>
      <c r="AP98" s="49"/>
    </row>
    <row r="99">
      <c r="AH99" s="49"/>
      <c r="AP99" s="49"/>
    </row>
    <row r="100">
      <c r="AH100" s="49"/>
      <c r="AP100" s="49"/>
    </row>
    <row r="101">
      <c r="AH101" s="49"/>
      <c r="AP101" s="49"/>
    </row>
    <row r="102">
      <c r="AH102" s="49"/>
      <c r="AP102" s="49"/>
    </row>
    <row r="103">
      <c r="AH103" s="49"/>
      <c r="AP103" s="49"/>
    </row>
    <row r="104">
      <c r="AH104" s="49"/>
      <c r="AP104" s="49"/>
    </row>
    <row r="105">
      <c r="AH105" s="49"/>
      <c r="AP105" s="49"/>
    </row>
    <row r="106">
      <c r="AH106" s="49"/>
      <c r="AP106" s="49"/>
    </row>
    <row r="107">
      <c r="AH107" s="49"/>
      <c r="AP107" s="49"/>
    </row>
    <row r="108">
      <c r="AH108" s="49"/>
      <c r="AP108" s="49"/>
    </row>
    <row r="109">
      <c r="AH109" s="49"/>
      <c r="AP109" s="49"/>
    </row>
    <row r="110">
      <c r="AH110" s="49"/>
      <c r="AP110" s="49"/>
    </row>
    <row r="111">
      <c r="AH111" s="49"/>
      <c r="AP111" s="49"/>
    </row>
    <row r="112">
      <c r="AH112" s="49"/>
      <c r="AP112" s="49"/>
    </row>
    <row r="113">
      <c r="AH113" s="49"/>
      <c r="AP113" s="49"/>
    </row>
    <row r="114">
      <c r="AH114" s="49"/>
      <c r="AP114" s="49"/>
    </row>
    <row r="115">
      <c r="AH115" s="49"/>
      <c r="AP115" s="49"/>
    </row>
    <row r="116">
      <c r="AH116" s="49"/>
      <c r="AP116" s="49"/>
    </row>
    <row r="117">
      <c r="AH117" s="49"/>
      <c r="AP117" s="49"/>
    </row>
    <row r="118">
      <c r="AH118" s="49"/>
      <c r="AP118" s="49"/>
    </row>
    <row r="119">
      <c r="AH119" s="49"/>
      <c r="AP119" s="49"/>
    </row>
    <row r="120">
      <c r="AH120" s="49"/>
      <c r="AP120" s="49"/>
    </row>
    <row r="121">
      <c r="AH121" s="49"/>
      <c r="AP121" s="49"/>
    </row>
    <row r="122">
      <c r="AH122" s="49"/>
      <c r="AP122" s="49"/>
    </row>
    <row r="123">
      <c r="AH123" s="49"/>
      <c r="AP123" s="49"/>
    </row>
    <row r="124">
      <c r="AH124" s="49"/>
      <c r="AP124" s="49"/>
    </row>
    <row r="125">
      <c r="AH125" s="49"/>
      <c r="AP125" s="49"/>
    </row>
    <row r="126">
      <c r="AH126" s="49"/>
      <c r="AP126" s="49"/>
    </row>
    <row r="127">
      <c r="AH127" s="49"/>
      <c r="AP127" s="49"/>
    </row>
    <row r="128">
      <c r="AH128" s="49"/>
      <c r="AP128" s="49"/>
    </row>
    <row r="129">
      <c r="AH129" s="49"/>
      <c r="AP129" s="49"/>
    </row>
    <row r="130">
      <c r="AH130" s="49"/>
      <c r="AP130" s="49"/>
    </row>
    <row r="131">
      <c r="AH131" s="49"/>
      <c r="AP131" s="49"/>
    </row>
    <row r="132">
      <c r="AH132" s="49"/>
      <c r="AP132" s="49"/>
    </row>
    <row r="133">
      <c r="AH133" s="49"/>
      <c r="AP133" s="49"/>
    </row>
    <row r="134">
      <c r="AH134" s="49"/>
      <c r="AP134" s="49"/>
    </row>
    <row r="135">
      <c r="AH135" s="49"/>
      <c r="AP135" s="49"/>
    </row>
    <row r="136">
      <c r="AH136" s="49"/>
      <c r="AP136" s="49"/>
    </row>
    <row r="137">
      <c r="AH137" s="49"/>
      <c r="AP137" s="49"/>
    </row>
    <row r="138">
      <c r="AH138" s="49"/>
      <c r="AP138" s="49"/>
    </row>
    <row r="139">
      <c r="AH139" s="49"/>
      <c r="AP139" s="49"/>
    </row>
    <row r="140">
      <c r="AH140" s="49"/>
      <c r="AP140" s="49"/>
    </row>
    <row r="141">
      <c r="AH141" s="49"/>
      <c r="AP141" s="49"/>
    </row>
    <row r="142">
      <c r="AH142" s="49"/>
      <c r="AP142" s="49"/>
    </row>
    <row r="143">
      <c r="AH143" s="49"/>
      <c r="AP143" s="49"/>
    </row>
    <row r="144">
      <c r="AH144" s="49"/>
      <c r="AP144" s="49"/>
    </row>
    <row r="145">
      <c r="AH145" s="49"/>
      <c r="AP145" s="49"/>
    </row>
    <row r="146">
      <c r="AH146" s="49"/>
      <c r="AP146" s="49"/>
    </row>
    <row r="147">
      <c r="AH147" s="49"/>
      <c r="AP147" s="49"/>
    </row>
    <row r="148">
      <c r="AH148" s="49"/>
      <c r="AP148" s="49"/>
    </row>
    <row r="149">
      <c r="AH149" s="49"/>
      <c r="AP149" s="49"/>
    </row>
    <row r="150">
      <c r="AH150" s="49"/>
      <c r="AP150" s="49"/>
    </row>
    <row r="151">
      <c r="AH151" s="49"/>
      <c r="AP151" s="49"/>
    </row>
    <row r="152">
      <c r="AH152" s="49"/>
      <c r="AP152" s="49"/>
    </row>
    <row r="153">
      <c r="AH153" s="49"/>
      <c r="AP153" s="49"/>
    </row>
    <row r="154">
      <c r="AH154" s="49"/>
      <c r="AP154" s="49"/>
    </row>
    <row r="155">
      <c r="AH155" s="49"/>
      <c r="AP155" s="49"/>
    </row>
    <row r="156">
      <c r="AH156" s="49"/>
      <c r="AP156" s="49"/>
    </row>
    <row r="157">
      <c r="AH157" s="49"/>
      <c r="AP157" s="49"/>
    </row>
    <row r="158">
      <c r="AH158" s="49"/>
      <c r="AP158" s="49"/>
    </row>
    <row r="159">
      <c r="AH159" s="49"/>
      <c r="AP159" s="49"/>
    </row>
    <row r="160">
      <c r="AH160" s="49"/>
      <c r="AP160" s="49"/>
    </row>
    <row r="161">
      <c r="AH161" s="49"/>
      <c r="AP161" s="49"/>
    </row>
    <row r="162">
      <c r="AH162" s="49"/>
      <c r="AP162" s="49"/>
    </row>
    <row r="163">
      <c r="AH163" s="49"/>
      <c r="AP163" s="49"/>
    </row>
    <row r="164">
      <c r="AH164" s="49"/>
      <c r="AP164" s="49"/>
    </row>
    <row r="165">
      <c r="AH165" s="49"/>
      <c r="AP165" s="49"/>
    </row>
    <row r="166">
      <c r="AH166" s="49"/>
      <c r="AP166" s="49"/>
    </row>
    <row r="167">
      <c r="AH167" s="49"/>
      <c r="AP167" s="49"/>
    </row>
    <row r="168">
      <c r="AH168" s="49"/>
      <c r="AP168" s="49"/>
    </row>
    <row r="169">
      <c r="AH169" s="49"/>
      <c r="AP169" s="49"/>
    </row>
    <row r="170">
      <c r="AH170" s="49"/>
      <c r="AP170" s="49"/>
    </row>
    <row r="171">
      <c r="AH171" s="49"/>
      <c r="AP171" s="49"/>
    </row>
    <row r="172">
      <c r="AH172" s="49"/>
      <c r="AP172" s="49"/>
    </row>
    <row r="173">
      <c r="AH173" s="49"/>
      <c r="AP173" s="49"/>
    </row>
    <row r="174">
      <c r="AH174" s="49"/>
      <c r="AP174" s="49"/>
    </row>
    <row r="175">
      <c r="AH175" s="49"/>
      <c r="AP175" s="49"/>
    </row>
    <row r="176">
      <c r="AH176" s="49"/>
      <c r="AP176" s="49"/>
    </row>
    <row r="177">
      <c r="AH177" s="49"/>
      <c r="AP177" s="49"/>
    </row>
    <row r="178">
      <c r="AH178" s="49"/>
      <c r="AP178" s="49"/>
    </row>
    <row r="179">
      <c r="AH179" s="49"/>
      <c r="AP179" s="49"/>
    </row>
    <row r="180">
      <c r="AH180" s="49"/>
      <c r="AP180" s="49"/>
    </row>
    <row r="181">
      <c r="AH181" s="49"/>
      <c r="AP181" s="49"/>
    </row>
    <row r="182">
      <c r="AH182" s="49"/>
      <c r="AP182" s="49"/>
    </row>
    <row r="183">
      <c r="AH183" s="49"/>
      <c r="AP183" s="49"/>
    </row>
    <row r="184">
      <c r="AH184" s="49"/>
      <c r="AP184" s="49"/>
    </row>
    <row r="185">
      <c r="AH185" s="49"/>
      <c r="AP185" s="49"/>
    </row>
    <row r="186">
      <c r="AH186" s="49"/>
      <c r="AP186" s="49"/>
    </row>
    <row r="187">
      <c r="AH187" s="49"/>
      <c r="AP187" s="49"/>
    </row>
    <row r="188">
      <c r="AH188" s="49"/>
      <c r="AP188" s="49"/>
    </row>
    <row r="189">
      <c r="AH189" s="49"/>
      <c r="AP189" s="49"/>
    </row>
    <row r="190">
      <c r="AH190" s="49"/>
      <c r="AP190" s="49"/>
    </row>
    <row r="191">
      <c r="AH191" s="49"/>
      <c r="AP191" s="49"/>
    </row>
    <row r="192">
      <c r="AH192" s="49"/>
      <c r="AP192" s="49"/>
    </row>
    <row r="193">
      <c r="AH193" s="49"/>
      <c r="AP193" s="49"/>
    </row>
    <row r="194">
      <c r="AH194" s="49"/>
      <c r="AP194" s="49"/>
    </row>
    <row r="195">
      <c r="AH195" s="49"/>
      <c r="AP195" s="49"/>
    </row>
    <row r="196">
      <c r="AH196" s="49"/>
      <c r="AP196" s="49"/>
    </row>
    <row r="197">
      <c r="AH197" s="49"/>
      <c r="AP197" s="49"/>
    </row>
    <row r="198">
      <c r="AH198" s="49"/>
      <c r="AP198" s="49"/>
    </row>
    <row r="199">
      <c r="AH199" s="49"/>
      <c r="AP199" s="49"/>
    </row>
    <row r="200">
      <c r="AH200" s="49"/>
      <c r="AP200" s="49"/>
    </row>
    <row r="201">
      <c r="AH201" s="49"/>
      <c r="AP201" s="49"/>
    </row>
    <row r="202">
      <c r="AH202" s="49"/>
      <c r="AP202" s="49"/>
    </row>
    <row r="203">
      <c r="AH203" s="49"/>
      <c r="AP203" s="49"/>
    </row>
    <row r="204">
      <c r="AH204" s="49"/>
      <c r="AP204" s="49"/>
    </row>
    <row r="205">
      <c r="AH205" s="49"/>
      <c r="AP205" s="49"/>
    </row>
    <row r="206">
      <c r="AH206" s="49"/>
      <c r="AP206" s="49"/>
    </row>
    <row r="207">
      <c r="AH207" s="49"/>
      <c r="AP207" s="49"/>
    </row>
    <row r="208">
      <c r="AH208" s="49"/>
      <c r="AP208" s="49"/>
    </row>
    <row r="209">
      <c r="AH209" s="49"/>
      <c r="AP209" s="49"/>
    </row>
    <row r="210">
      <c r="AH210" s="49"/>
      <c r="AP210" s="49"/>
    </row>
    <row r="211">
      <c r="AH211" s="49"/>
      <c r="AP211" s="49"/>
    </row>
    <row r="212">
      <c r="AH212" s="49"/>
      <c r="AP212" s="49"/>
    </row>
    <row r="213">
      <c r="AH213" s="49"/>
      <c r="AP213" s="49"/>
    </row>
    <row r="214">
      <c r="AH214" s="49"/>
      <c r="AP214" s="49"/>
    </row>
    <row r="215">
      <c r="AH215" s="49"/>
      <c r="AP215" s="49"/>
    </row>
    <row r="216">
      <c r="AH216" s="49"/>
      <c r="AP216" s="49"/>
    </row>
    <row r="217">
      <c r="AH217" s="49"/>
      <c r="AP217" s="49"/>
    </row>
    <row r="218">
      <c r="AH218" s="49"/>
      <c r="AP218" s="49"/>
    </row>
    <row r="219">
      <c r="AH219" s="49"/>
      <c r="AP219" s="49"/>
    </row>
    <row r="220">
      <c r="AH220" s="49"/>
      <c r="AP220" s="49"/>
    </row>
    <row r="221">
      <c r="AH221" s="49"/>
      <c r="AP221" s="49"/>
    </row>
    <row r="222">
      <c r="AH222" s="49"/>
      <c r="AP222" s="49"/>
    </row>
    <row r="223">
      <c r="AH223" s="49"/>
      <c r="AP223" s="49"/>
    </row>
    <row r="224">
      <c r="AH224" s="49"/>
      <c r="AP224" s="49"/>
    </row>
    <row r="225">
      <c r="AH225" s="49"/>
      <c r="AP225" s="49"/>
    </row>
    <row r="226">
      <c r="AH226" s="49"/>
      <c r="AP226" s="49"/>
    </row>
    <row r="227">
      <c r="AH227" s="49"/>
      <c r="AP227" s="49"/>
    </row>
    <row r="228">
      <c r="AH228" s="49"/>
      <c r="AP228" s="49"/>
    </row>
    <row r="229">
      <c r="AH229" s="49"/>
      <c r="AP229" s="49"/>
    </row>
    <row r="230">
      <c r="AH230" s="49"/>
      <c r="AP230" s="49"/>
    </row>
    <row r="231">
      <c r="AH231" s="49"/>
      <c r="AP231" s="49"/>
    </row>
    <row r="232">
      <c r="AH232" s="49"/>
      <c r="AP232" s="49"/>
    </row>
    <row r="233">
      <c r="AH233" s="49"/>
      <c r="AP233" s="49"/>
    </row>
    <row r="234">
      <c r="AH234" s="49"/>
      <c r="AP234" s="49"/>
    </row>
    <row r="235">
      <c r="AH235" s="49"/>
      <c r="AP235" s="49"/>
    </row>
    <row r="236">
      <c r="AH236" s="49"/>
      <c r="AP236" s="49"/>
    </row>
    <row r="237">
      <c r="AH237" s="49"/>
      <c r="AP237" s="49"/>
    </row>
    <row r="238">
      <c r="AH238" s="49"/>
      <c r="AP238" s="49"/>
    </row>
    <row r="239">
      <c r="AH239" s="49"/>
      <c r="AP239" s="49"/>
    </row>
    <row r="240">
      <c r="AH240" s="49"/>
      <c r="AP240" s="49"/>
    </row>
    <row r="241">
      <c r="AH241" s="49"/>
      <c r="AP241" s="49"/>
    </row>
    <row r="242">
      <c r="AH242" s="49"/>
      <c r="AP242" s="49"/>
    </row>
    <row r="243">
      <c r="AH243" s="49"/>
      <c r="AP243" s="49"/>
    </row>
    <row r="244">
      <c r="AH244" s="49"/>
      <c r="AP244" s="49"/>
    </row>
    <row r="245">
      <c r="AH245" s="49"/>
      <c r="AP245" s="49"/>
    </row>
    <row r="246">
      <c r="AH246" s="49"/>
      <c r="AP246" s="49"/>
    </row>
    <row r="247">
      <c r="AH247" s="49"/>
      <c r="AP247" s="49"/>
    </row>
    <row r="248">
      <c r="AH248" s="49"/>
      <c r="AP248" s="49"/>
    </row>
    <row r="249">
      <c r="AH249" s="49"/>
      <c r="AP249" s="49"/>
    </row>
    <row r="250">
      <c r="AH250" s="49"/>
      <c r="AP250" s="49"/>
    </row>
    <row r="251">
      <c r="AH251" s="49"/>
      <c r="AP251" s="49"/>
    </row>
    <row r="252">
      <c r="AH252" s="49"/>
      <c r="AP252" s="49"/>
    </row>
    <row r="253">
      <c r="AH253" s="49"/>
      <c r="AP253" s="49"/>
    </row>
    <row r="254">
      <c r="AH254" s="49"/>
      <c r="AP254" s="49"/>
    </row>
    <row r="255">
      <c r="AH255" s="49"/>
      <c r="AP255" s="49"/>
    </row>
    <row r="256">
      <c r="AH256" s="49"/>
      <c r="AP256" s="49"/>
    </row>
    <row r="257">
      <c r="AH257" s="49"/>
      <c r="AP257" s="49"/>
    </row>
    <row r="258">
      <c r="AH258" s="49"/>
      <c r="AP258" s="49"/>
    </row>
    <row r="259">
      <c r="AH259" s="49"/>
      <c r="AP259" s="49"/>
    </row>
    <row r="260">
      <c r="AH260" s="49"/>
      <c r="AP260" s="49"/>
    </row>
    <row r="261">
      <c r="AH261" s="49"/>
      <c r="AP261" s="49"/>
    </row>
    <row r="262">
      <c r="AH262" s="49"/>
      <c r="AP262" s="49"/>
    </row>
    <row r="263">
      <c r="AH263" s="49"/>
      <c r="AP263" s="49"/>
    </row>
    <row r="264">
      <c r="AH264" s="49"/>
      <c r="AP264" s="49"/>
    </row>
    <row r="265">
      <c r="AH265" s="49"/>
      <c r="AP265" s="49"/>
    </row>
    <row r="266">
      <c r="AH266" s="49"/>
      <c r="AP266" s="49"/>
    </row>
    <row r="267">
      <c r="AH267" s="49"/>
      <c r="AP267" s="49"/>
    </row>
    <row r="268">
      <c r="AH268" s="49"/>
      <c r="AP268" s="49"/>
    </row>
    <row r="269">
      <c r="AH269" s="49"/>
      <c r="AP269" s="49"/>
    </row>
    <row r="270">
      <c r="AH270" s="49"/>
      <c r="AP270" s="49"/>
    </row>
    <row r="271">
      <c r="AH271" s="49"/>
      <c r="AP271" s="49"/>
    </row>
    <row r="272">
      <c r="AH272" s="49"/>
      <c r="AP272" s="49"/>
    </row>
    <row r="273">
      <c r="AH273" s="49"/>
      <c r="AP273" s="49"/>
    </row>
    <row r="274">
      <c r="AH274" s="49"/>
      <c r="AP274" s="49"/>
    </row>
    <row r="275">
      <c r="AH275" s="49"/>
      <c r="AP275" s="49"/>
    </row>
    <row r="276">
      <c r="AH276" s="49"/>
      <c r="AP276" s="49"/>
    </row>
    <row r="277">
      <c r="AH277" s="49"/>
      <c r="AP277" s="49"/>
    </row>
    <row r="278">
      <c r="AH278" s="49"/>
      <c r="AP278" s="49"/>
    </row>
    <row r="279">
      <c r="AH279" s="49"/>
      <c r="AP279" s="49"/>
    </row>
    <row r="280">
      <c r="AH280" s="49"/>
      <c r="AP280" s="49"/>
    </row>
    <row r="281">
      <c r="AH281" s="49"/>
      <c r="AP281" s="49"/>
    </row>
    <row r="282">
      <c r="AH282" s="49"/>
      <c r="AP282" s="49"/>
    </row>
    <row r="283">
      <c r="AH283" s="49"/>
      <c r="AP283" s="49"/>
    </row>
    <row r="284">
      <c r="AH284" s="49"/>
      <c r="AP284" s="49"/>
    </row>
    <row r="285">
      <c r="AH285" s="49"/>
      <c r="AP285" s="49"/>
    </row>
    <row r="286">
      <c r="AH286" s="49"/>
      <c r="AP286" s="49"/>
    </row>
    <row r="287">
      <c r="AH287" s="49"/>
      <c r="AP287" s="49"/>
    </row>
    <row r="288">
      <c r="AH288" s="49"/>
      <c r="AP288" s="49"/>
    </row>
    <row r="289">
      <c r="AH289" s="49"/>
      <c r="AP289" s="49"/>
    </row>
    <row r="290">
      <c r="AH290" s="49"/>
      <c r="AP290" s="49"/>
    </row>
    <row r="291">
      <c r="AH291" s="49"/>
      <c r="AP291" s="49"/>
    </row>
    <row r="292">
      <c r="AH292" s="49"/>
      <c r="AP292" s="49"/>
    </row>
    <row r="293">
      <c r="AH293" s="49"/>
      <c r="AP293" s="49"/>
    </row>
    <row r="294">
      <c r="AH294" s="49"/>
      <c r="AP294" s="49"/>
    </row>
    <row r="295">
      <c r="AH295" s="49"/>
      <c r="AP295" s="49"/>
    </row>
    <row r="296">
      <c r="AH296" s="49"/>
      <c r="AP296" s="49"/>
    </row>
    <row r="297">
      <c r="AH297" s="49"/>
      <c r="AP297" s="49"/>
    </row>
    <row r="298">
      <c r="AH298" s="49"/>
      <c r="AP298" s="49"/>
    </row>
    <row r="299">
      <c r="AH299" s="49"/>
      <c r="AP299" s="49"/>
    </row>
    <row r="300">
      <c r="AH300" s="49"/>
      <c r="AP300" s="49"/>
    </row>
    <row r="301">
      <c r="AH301" s="49"/>
      <c r="AP301" s="49"/>
    </row>
    <row r="302">
      <c r="AH302" s="49"/>
      <c r="AP302" s="49"/>
    </row>
    <row r="303">
      <c r="AH303" s="49"/>
      <c r="AP303" s="49"/>
    </row>
    <row r="304">
      <c r="AH304" s="49"/>
      <c r="AP304" s="49"/>
    </row>
    <row r="305">
      <c r="AH305" s="49"/>
      <c r="AP305" s="49"/>
    </row>
    <row r="306">
      <c r="AH306" s="49"/>
      <c r="AP306" s="49"/>
    </row>
    <row r="307">
      <c r="AH307" s="49"/>
      <c r="AP307" s="49"/>
    </row>
    <row r="308">
      <c r="AH308" s="49"/>
      <c r="AP308" s="49"/>
    </row>
    <row r="309">
      <c r="AH309" s="49"/>
      <c r="AP309" s="49"/>
    </row>
    <row r="310">
      <c r="AH310" s="49"/>
      <c r="AP310" s="49"/>
    </row>
    <row r="311">
      <c r="AH311" s="49"/>
      <c r="AP311" s="49"/>
    </row>
    <row r="312">
      <c r="AH312" s="49"/>
      <c r="AP312" s="49"/>
    </row>
    <row r="313">
      <c r="AH313" s="49"/>
      <c r="AP313" s="49"/>
    </row>
    <row r="314">
      <c r="AH314" s="49"/>
      <c r="AP314" s="49"/>
    </row>
    <row r="315">
      <c r="AH315" s="49"/>
      <c r="AP315" s="49"/>
    </row>
    <row r="316">
      <c r="AH316" s="49"/>
      <c r="AP316" s="49"/>
    </row>
    <row r="317">
      <c r="AH317" s="49"/>
      <c r="AP317" s="49"/>
    </row>
    <row r="318">
      <c r="AH318" s="49"/>
      <c r="AP318" s="49"/>
    </row>
    <row r="319">
      <c r="AH319" s="49"/>
      <c r="AP319" s="49"/>
    </row>
    <row r="320">
      <c r="AH320" s="49"/>
      <c r="AP320" s="49"/>
    </row>
    <row r="321">
      <c r="AH321" s="49"/>
      <c r="AP321" s="49"/>
    </row>
    <row r="322">
      <c r="AH322" s="49"/>
      <c r="AP322" s="49"/>
    </row>
    <row r="323">
      <c r="AH323" s="49"/>
      <c r="AP323" s="49"/>
    </row>
    <row r="324">
      <c r="AH324" s="49"/>
      <c r="AP324" s="49"/>
    </row>
    <row r="325">
      <c r="AH325" s="49"/>
      <c r="AP325" s="49"/>
    </row>
    <row r="326">
      <c r="AH326" s="49"/>
      <c r="AP326" s="49"/>
    </row>
    <row r="327">
      <c r="AH327" s="49"/>
      <c r="AP327" s="49"/>
    </row>
    <row r="328">
      <c r="AH328" s="49"/>
      <c r="AP328" s="49"/>
    </row>
    <row r="329">
      <c r="AH329" s="49"/>
      <c r="AP329" s="49"/>
    </row>
    <row r="330">
      <c r="AH330" s="49"/>
      <c r="AP330" s="49"/>
    </row>
    <row r="331">
      <c r="AH331" s="49"/>
      <c r="AP331" s="49"/>
    </row>
    <row r="332">
      <c r="AH332" s="49"/>
      <c r="AP332" s="49"/>
    </row>
    <row r="333">
      <c r="AH333" s="49"/>
      <c r="AP333" s="49"/>
    </row>
    <row r="334">
      <c r="AH334" s="49"/>
      <c r="AP334" s="49"/>
    </row>
    <row r="335">
      <c r="AH335" s="49"/>
      <c r="AP335" s="49"/>
    </row>
    <row r="336">
      <c r="AH336" s="49"/>
      <c r="AP336" s="49"/>
    </row>
    <row r="337">
      <c r="AH337" s="49"/>
      <c r="AP337" s="49"/>
    </row>
    <row r="338">
      <c r="AH338" s="49"/>
      <c r="AP338" s="49"/>
    </row>
    <row r="339">
      <c r="AH339" s="49"/>
      <c r="AP339" s="49"/>
    </row>
    <row r="340">
      <c r="AH340" s="49"/>
      <c r="AP340" s="49"/>
    </row>
    <row r="341">
      <c r="AH341" s="49"/>
      <c r="AP341" s="49"/>
    </row>
    <row r="342">
      <c r="AH342" s="49"/>
      <c r="AP342" s="49"/>
    </row>
    <row r="343">
      <c r="AH343" s="49"/>
      <c r="AP343" s="49"/>
    </row>
    <row r="344">
      <c r="AH344" s="49"/>
      <c r="AP344" s="49"/>
    </row>
    <row r="345">
      <c r="AH345" s="49"/>
      <c r="AP345" s="49"/>
    </row>
    <row r="346">
      <c r="AH346" s="49"/>
      <c r="AP346" s="49"/>
    </row>
    <row r="347">
      <c r="AH347" s="49"/>
      <c r="AP347" s="49"/>
    </row>
    <row r="348">
      <c r="AH348" s="49"/>
      <c r="AP348" s="49"/>
    </row>
    <row r="349">
      <c r="AH349" s="49"/>
      <c r="AP349" s="49"/>
    </row>
    <row r="350">
      <c r="AH350" s="49"/>
      <c r="AP350" s="49"/>
    </row>
    <row r="351">
      <c r="AH351" s="49"/>
      <c r="AP351" s="49"/>
    </row>
    <row r="352">
      <c r="AH352" s="49"/>
      <c r="AP352" s="49"/>
    </row>
    <row r="353">
      <c r="AH353" s="49"/>
      <c r="AP353" s="49"/>
    </row>
    <row r="354">
      <c r="AH354" s="49"/>
      <c r="AP354" s="49"/>
    </row>
    <row r="355">
      <c r="AH355" s="49"/>
      <c r="AP355" s="49"/>
    </row>
    <row r="356">
      <c r="AH356" s="49"/>
      <c r="AP356" s="49"/>
    </row>
    <row r="357">
      <c r="AH357" s="49"/>
      <c r="AP357" s="49"/>
    </row>
    <row r="358">
      <c r="AH358" s="49"/>
      <c r="AP358" s="49"/>
    </row>
    <row r="359">
      <c r="AH359" s="49"/>
      <c r="AP359" s="49"/>
    </row>
    <row r="360">
      <c r="AH360" s="49"/>
      <c r="AP360" s="49"/>
    </row>
    <row r="361">
      <c r="AH361" s="49"/>
      <c r="AP361" s="49"/>
    </row>
    <row r="362">
      <c r="AH362" s="49"/>
      <c r="AP362" s="49"/>
    </row>
    <row r="363">
      <c r="AH363" s="49"/>
      <c r="AP363" s="49"/>
    </row>
    <row r="364">
      <c r="AH364" s="49"/>
      <c r="AP364" s="49"/>
    </row>
    <row r="365">
      <c r="AH365" s="49"/>
      <c r="AP365" s="49"/>
    </row>
    <row r="366">
      <c r="AH366" s="49"/>
      <c r="AP366" s="49"/>
    </row>
    <row r="367">
      <c r="AH367" s="49"/>
      <c r="AP367" s="49"/>
    </row>
    <row r="368">
      <c r="AH368" s="49"/>
      <c r="AP368" s="49"/>
    </row>
    <row r="369">
      <c r="AH369" s="49"/>
      <c r="AP369" s="49"/>
    </row>
    <row r="370">
      <c r="AH370" s="49"/>
      <c r="AP370" s="49"/>
    </row>
    <row r="371">
      <c r="AH371" s="49"/>
      <c r="AP371" s="49"/>
    </row>
    <row r="372">
      <c r="AH372" s="49"/>
      <c r="AP372" s="49"/>
    </row>
    <row r="373">
      <c r="AH373" s="49"/>
      <c r="AP373" s="49"/>
    </row>
    <row r="374">
      <c r="AH374" s="49"/>
      <c r="AP374" s="49"/>
    </row>
    <row r="375">
      <c r="AH375" s="49"/>
      <c r="AP375" s="49"/>
    </row>
    <row r="376">
      <c r="AH376" s="49"/>
      <c r="AP376" s="49"/>
    </row>
    <row r="377">
      <c r="AH377" s="49"/>
      <c r="AP377" s="49"/>
    </row>
    <row r="378">
      <c r="AH378" s="49"/>
      <c r="AP378" s="49"/>
    </row>
    <row r="379">
      <c r="AH379" s="49"/>
      <c r="AP379" s="49"/>
    </row>
    <row r="380">
      <c r="AH380" s="49"/>
      <c r="AP380" s="49"/>
    </row>
    <row r="381">
      <c r="AH381" s="49"/>
      <c r="AP381" s="49"/>
    </row>
    <row r="382">
      <c r="AH382" s="49"/>
      <c r="AP382" s="49"/>
    </row>
    <row r="383">
      <c r="AH383" s="49"/>
      <c r="AP383" s="49"/>
    </row>
    <row r="384">
      <c r="AH384" s="49"/>
      <c r="AP384" s="49"/>
    </row>
    <row r="385">
      <c r="AH385" s="49"/>
      <c r="AP385" s="49"/>
    </row>
    <row r="386">
      <c r="AH386" s="49"/>
      <c r="AP386" s="49"/>
    </row>
    <row r="387">
      <c r="AH387" s="49"/>
      <c r="AP387" s="49"/>
    </row>
    <row r="388">
      <c r="AH388" s="49"/>
      <c r="AP388" s="49"/>
    </row>
    <row r="389">
      <c r="AH389" s="49"/>
      <c r="AP389" s="49"/>
    </row>
    <row r="390">
      <c r="AH390" s="49"/>
      <c r="AP390" s="49"/>
    </row>
    <row r="391">
      <c r="AH391" s="49"/>
      <c r="AP391" s="49"/>
    </row>
    <row r="392">
      <c r="AH392" s="49"/>
      <c r="AP392" s="49"/>
    </row>
    <row r="393">
      <c r="AH393" s="49"/>
      <c r="AP393" s="49"/>
    </row>
    <row r="394">
      <c r="AH394" s="49"/>
      <c r="AP394" s="49"/>
    </row>
    <row r="395">
      <c r="AH395" s="49"/>
      <c r="AP395" s="49"/>
    </row>
    <row r="396">
      <c r="AH396" s="49"/>
      <c r="AP396" s="49"/>
    </row>
    <row r="397">
      <c r="AH397" s="49"/>
      <c r="AP397" s="49"/>
    </row>
    <row r="398">
      <c r="AH398" s="49"/>
      <c r="AP398" s="49"/>
    </row>
    <row r="399">
      <c r="AH399" s="49"/>
      <c r="AP399" s="49"/>
    </row>
    <row r="400">
      <c r="AH400" s="49"/>
      <c r="AP400" s="49"/>
    </row>
    <row r="401">
      <c r="AH401" s="49"/>
      <c r="AP401" s="49"/>
    </row>
    <row r="402">
      <c r="AH402" s="49"/>
      <c r="AP402" s="49"/>
    </row>
    <row r="403">
      <c r="AH403" s="49"/>
      <c r="AP403" s="49"/>
    </row>
    <row r="404">
      <c r="AH404" s="49"/>
      <c r="AP404" s="49"/>
    </row>
    <row r="405">
      <c r="AH405" s="49"/>
      <c r="AP405" s="49"/>
    </row>
    <row r="406">
      <c r="AH406" s="49"/>
      <c r="AP406" s="49"/>
    </row>
    <row r="407">
      <c r="AH407" s="49"/>
      <c r="AP407" s="49"/>
    </row>
    <row r="408">
      <c r="AH408" s="49"/>
      <c r="AP408" s="49"/>
    </row>
    <row r="409">
      <c r="AH409" s="49"/>
      <c r="AP409" s="49"/>
    </row>
    <row r="410">
      <c r="AH410" s="49"/>
      <c r="AP410" s="49"/>
    </row>
    <row r="411">
      <c r="AH411" s="49"/>
      <c r="AP411" s="49"/>
    </row>
    <row r="412">
      <c r="AH412" s="49"/>
      <c r="AP412" s="49"/>
    </row>
    <row r="413">
      <c r="AH413" s="49"/>
      <c r="AP413" s="49"/>
    </row>
    <row r="414">
      <c r="AH414" s="49"/>
      <c r="AP414" s="49"/>
    </row>
    <row r="415">
      <c r="AH415" s="49"/>
      <c r="AP415" s="49"/>
    </row>
    <row r="416">
      <c r="AH416" s="49"/>
      <c r="AP416" s="49"/>
    </row>
    <row r="417">
      <c r="AH417" s="49"/>
      <c r="AP417" s="49"/>
    </row>
    <row r="418">
      <c r="AH418" s="49"/>
      <c r="AP418" s="49"/>
    </row>
    <row r="419">
      <c r="AH419" s="49"/>
      <c r="AP419" s="49"/>
    </row>
    <row r="420">
      <c r="AH420" s="49"/>
      <c r="AP420" s="49"/>
    </row>
    <row r="421">
      <c r="AH421" s="49"/>
      <c r="AP421" s="49"/>
    </row>
    <row r="422">
      <c r="AH422" s="49"/>
      <c r="AP422" s="49"/>
    </row>
    <row r="423">
      <c r="AH423" s="49"/>
      <c r="AP423" s="49"/>
    </row>
    <row r="424">
      <c r="AH424" s="49"/>
      <c r="AP424" s="49"/>
    </row>
    <row r="425">
      <c r="AH425" s="49"/>
      <c r="AP425" s="49"/>
    </row>
    <row r="426">
      <c r="AH426" s="49"/>
      <c r="AP426" s="49"/>
    </row>
    <row r="427">
      <c r="AH427" s="49"/>
      <c r="AP427" s="49"/>
    </row>
    <row r="428">
      <c r="AH428" s="49"/>
      <c r="AP428" s="49"/>
    </row>
    <row r="429">
      <c r="AH429" s="49"/>
      <c r="AP429" s="49"/>
    </row>
    <row r="430">
      <c r="AH430" s="49"/>
      <c r="AP430" s="49"/>
    </row>
    <row r="431">
      <c r="AH431" s="49"/>
      <c r="AP431" s="49"/>
    </row>
    <row r="432">
      <c r="AH432" s="49"/>
      <c r="AP432" s="49"/>
    </row>
    <row r="433">
      <c r="AH433" s="49"/>
      <c r="AP433" s="49"/>
    </row>
    <row r="434">
      <c r="AH434" s="49"/>
      <c r="AP434" s="49"/>
    </row>
    <row r="435">
      <c r="AH435" s="49"/>
      <c r="AP435" s="49"/>
    </row>
    <row r="436">
      <c r="AH436" s="49"/>
      <c r="AP436" s="49"/>
    </row>
    <row r="437">
      <c r="AH437" s="49"/>
      <c r="AP437" s="49"/>
    </row>
    <row r="438">
      <c r="AH438" s="49"/>
      <c r="AP438" s="49"/>
    </row>
    <row r="439">
      <c r="AH439" s="49"/>
      <c r="AP439" s="49"/>
    </row>
    <row r="440">
      <c r="AH440" s="49"/>
      <c r="AP440" s="49"/>
    </row>
    <row r="441">
      <c r="AH441" s="49"/>
      <c r="AP441" s="49"/>
    </row>
    <row r="442">
      <c r="AH442" s="49"/>
      <c r="AP442" s="49"/>
    </row>
    <row r="443">
      <c r="AH443" s="49"/>
      <c r="AP443" s="49"/>
    </row>
    <row r="444">
      <c r="AH444" s="49"/>
      <c r="AP444" s="49"/>
    </row>
    <row r="445">
      <c r="AH445" s="49"/>
      <c r="AP445" s="49"/>
    </row>
    <row r="446">
      <c r="AH446" s="49"/>
      <c r="AP446" s="49"/>
    </row>
    <row r="447">
      <c r="AH447" s="49"/>
      <c r="AP447" s="49"/>
    </row>
    <row r="448">
      <c r="AH448" s="49"/>
      <c r="AP448" s="49"/>
    </row>
    <row r="449">
      <c r="AH449" s="49"/>
      <c r="AP449" s="49"/>
    </row>
    <row r="450">
      <c r="AH450" s="49"/>
      <c r="AP450" s="49"/>
    </row>
    <row r="451">
      <c r="AH451" s="49"/>
      <c r="AP451" s="49"/>
    </row>
    <row r="452">
      <c r="AH452" s="49"/>
      <c r="AP452" s="49"/>
    </row>
    <row r="453">
      <c r="AH453" s="49"/>
      <c r="AP453" s="49"/>
    </row>
    <row r="454">
      <c r="AH454" s="49"/>
      <c r="AP454" s="49"/>
    </row>
    <row r="455">
      <c r="AH455" s="49"/>
      <c r="AP455" s="49"/>
    </row>
    <row r="456">
      <c r="AH456" s="49"/>
      <c r="AP456" s="49"/>
    </row>
    <row r="457">
      <c r="AH457" s="49"/>
      <c r="AP457" s="49"/>
    </row>
    <row r="458">
      <c r="AH458" s="49"/>
      <c r="AP458" s="49"/>
    </row>
    <row r="459">
      <c r="AH459" s="49"/>
      <c r="AP459" s="49"/>
    </row>
    <row r="460">
      <c r="AH460" s="49"/>
      <c r="AP460" s="49"/>
    </row>
    <row r="461">
      <c r="AH461" s="49"/>
      <c r="AP461" s="49"/>
    </row>
    <row r="462">
      <c r="AH462" s="49"/>
      <c r="AP462" s="49"/>
    </row>
    <row r="463">
      <c r="AH463" s="49"/>
      <c r="AP463" s="49"/>
    </row>
    <row r="464">
      <c r="AH464" s="49"/>
      <c r="AP464" s="49"/>
    </row>
    <row r="465">
      <c r="AH465" s="49"/>
      <c r="AP465" s="49"/>
    </row>
    <row r="466">
      <c r="AH466" s="49"/>
      <c r="AP466" s="49"/>
    </row>
    <row r="467">
      <c r="AH467" s="49"/>
      <c r="AP467" s="49"/>
    </row>
    <row r="468">
      <c r="AH468" s="49"/>
      <c r="AP468" s="49"/>
    </row>
    <row r="469">
      <c r="AH469" s="49"/>
      <c r="AP469" s="49"/>
    </row>
    <row r="470">
      <c r="AH470" s="49"/>
      <c r="AP470" s="49"/>
    </row>
    <row r="471">
      <c r="AH471" s="49"/>
      <c r="AP471" s="49"/>
    </row>
    <row r="472">
      <c r="AH472" s="49"/>
      <c r="AP472" s="49"/>
    </row>
    <row r="473">
      <c r="AH473" s="49"/>
      <c r="AP473" s="49"/>
    </row>
    <row r="474">
      <c r="AH474" s="49"/>
      <c r="AP474" s="49"/>
    </row>
    <row r="475">
      <c r="AH475" s="49"/>
      <c r="AP475" s="49"/>
    </row>
    <row r="476">
      <c r="AH476" s="49"/>
      <c r="AP476" s="49"/>
    </row>
    <row r="477">
      <c r="AH477" s="49"/>
      <c r="AP477" s="49"/>
    </row>
    <row r="478">
      <c r="AH478" s="49"/>
      <c r="AP478" s="49"/>
    </row>
    <row r="479">
      <c r="AH479" s="49"/>
      <c r="AP479" s="49"/>
    </row>
    <row r="480">
      <c r="AH480" s="49"/>
      <c r="AP480" s="49"/>
    </row>
    <row r="481">
      <c r="AH481" s="49"/>
      <c r="AP481" s="49"/>
    </row>
    <row r="482">
      <c r="AH482" s="49"/>
      <c r="AP482" s="49"/>
    </row>
    <row r="483">
      <c r="AH483" s="49"/>
      <c r="AP483" s="49"/>
    </row>
    <row r="484">
      <c r="AH484" s="49"/>
      <c r="AP484" s="49"/>
    </row>
    <row r="485">
      <c r="AH485" s="49"/>
      <c r="AP485" s="49"/>
    </row>
    <row r="486">
      <c r="AH486" s="49"/>
      <c r="AP486" s="49"/>
    </row>
    <row r="487">
      <c r="AH487" s="49"/>
      <c r="AP487" s="49"/>
    </row>
    <row r="488">
      <c r="AH488" s="49"/>
      <c r="AP488" s="49"/>
    </row>
    <row r="489">
      <c r="AH489" s="49"/>
      <c r="AP489" s="49"/>
    </row>
    <row r="490">
      <c r="AH490" s="49"/>
      <c r="AP490" s="49"/>
    </row>
    <row r="491">
      <c r="AH491" s="49"/>
      <c r="AP491" s="49"/>
    </row>
    <row r="492">
      <c r="AH492" s="49"/>
      <c r="AP492" s="49"/>
    </row>
    <row r="493">
      <c r="AH493" s="49"/>
      <c r="AP493" s="49"/>
    </row>
    <row r="494">
      <c r="AH494" s="49"/>
      <c r="AP494" s="49"/>
    </row>
    <row r="495">
      <c r="AH495" s="49"/>
      <c r="AP495" s="49"/>
    </row>
    <row r="496">
      <c r="AH496" s="49"/>
      <c r="AP496" s="49"/>
    </row>
    <row r="497">
      <c r="AH497" s="49"/>
      <c r="AP497" s="49"/>
    </row>
    <row r="498">
      <c r="AH498" s="49"/>
      <c r="AP498" s="49"/>
    </row>
    <row r="499">
      <c r="AH499" s="49"/>
      <c r="AP499" s="49"/>
    </row>
    <row r="500">
      <c r="AH500" s="49"/>
      <c r="AP500" s="49"/>
    </row>
    <row r="501">
      <c r="AH501" s="49"/>
      <c r="AP501" s="49"/>
    </row>
    <row r="502">
      <c r="AH502" s="49"/>
      <c r="AP502" s="49"/>
    </row>
    <row r="503">
      <c r="AH503" s="49"/>
      <c r="AP503" s="49"/>
    </row>
    <row r="504">
      <c r="AH504" s="49"/>
      <c r="AP504" s="49"/>
    </row>
    <row r="505">
      <c r="AH505" s="49"/>
      <c r="AP505" s="49"/>
    </row>
    <row r="506">
      <c r="AH506" s="49"/>
      <c r="AP506" s="49"/>
    </row>
    <row r="507">
      <c r="AH507" s="49"/>
      <c r="AP507" s="49"/>
    </row>
    <row r="508">
      <c r="AH508" s="49"/>
      <c r="AP508" s="49"/>
    </row>
    <row r="509">
      <c r="AH509" s="49"/>
      <c r="AP509" s="49"/>
    </row>
    <row r="510">
      <c r="AH510" s="49"/>
      <c r="AP510" s="49"/>
    </row>
    <row r="511">
      <c r="AH511" s="49"/>
      <c r="AP511" s="49"/>
    </row>
    <row r="512">
      <c r="AH512" s="49"/>
      <c r="AP512" s="49"/>
    </row>
    <row r="513">
      <c r="AH513" s="49"/>
      <c r="AP513" s="49"/>
    </row>
    <row r="514">
      <c r="AH514" s="49"/>
      <c r="AP514" s="49"/>
    </row>
    <row r="515">
      <c r="AH515" s="49"/>
      <c r="AP515" s="49"/>
    </row>
    <row r="516">
      <c r="AH516" s="49"/>
      <c r="AP516" s="49"/>
    </row>
    <row r="517">
      <c r="AH517" s="49"/>
      <c r="AP517" s="49"/>
    </row>
    <row r="518">
      <c r="AH518" s="49"/>
      <c r="AP518" s="49"/>
    </row>
    <row r="519">
      <c r="AH519" s="49"/>
      <c r="AP519" s="49"/>
    </row>
    <row r="520">
      <c r="AH520" s="49"/>
      <c r="AP520" s="49"/>
    </row>
    <row r="521">
      <c r="AH521" s="49"/>
      <c r="AP521" s="49"/>
    </row>
    <row r="522">
      <c r="AH522" s="49"/>
      <c r="AP522" s="49"/>
    </row>
    <row r="523">
      <c r="AH523" s="49"/>
      <c r="AP523" s="49"/>
    </row>
    <row r="524">
      <c r="AH524" s="49"/>
      <c r="AP524" s="49"/>
    </row>
    <row r="525">
      <c r="AH525" s="49"/>
      <c r="AP525" s="49"/>
    </row>
    <row r="526">
      <c r="AH526" s="49"/>
      <c r="AP526" s="49"/>
    </row>
    <row r="527">
      <c r="AH527" s="49"/>
      <c r="AP527" s="49"/>
    </row>
    <row r="528">
      <c r="AH528" s="49"/>
      <c r="AP528" s="49"/>
    </row>
    <row r="529">
      <c r="AH529" s="49"/>
      <c r="AP529" s="49"/>
    </row>
    <row r="530">
      <c r="AH530" s="49"/>
      <c r="AP530" s="49"/>
    </row>
    <row r="531">
      <c r="AH531" s="49"/>
      <c r="AP531" s="49"/>
    </row>
    <row r="532">
      <c r="AH532" s="49"/>
      <c r="AP532" s="49"/>
    </row>
    <row r="533">
      <c r="AH533" s="49"/>
      <c r="AP533" s="49"/>
    </row>
    <row r="534">
      <c r="AH534" s="49"/>
      <c r="AP534" s="49"/>
    </row>
    <row r="535">
      <c r="AH535" s="49"/>
      <c r="AP535" s="49"/>
    </row>
    <row r="536">
      <c r="AH536" s="49"/>
      <c r="AP536" s="49"/>
    </row>
    <row r="537">
      <c r="AH537" s="49"/>
      <c r="AP537" s="49"/>
    </row>
    <row r="538">
      <c r="AH538" s="49"/>
      <c r="AP538" s="49"/>
    </row>
    <row r="539">
      <c r="AH539" s="49"/>
      <c r="AP539" s="49"/>
    </row>
    <row r="540">
      <c r="AH540" s="49"/>
      <c r="AP540" s="49"/>
    </row>
    <row r="541">
      <c r="AH541" s="49"/>
      <c r="AP541" s="49"/>
    </row>
    <row r="542">
      <c r="AH542" s="49"/>
      <c r="AP542" s="49"/>
    </row>
    <row r="543">
      <c r="AH543" s="49"/>
      <c r="AP543" s="49"/>
    </row>
    <row r="544">
      <c r="AH544" s="49"/>
      <c r="AP544" s="49"/>
    </row>
    <row r="545">
      <c r="AH545" s="49"/>
      <c r="AP545" s="49"/>
    </row>
    <row r="546">
      <c r="AH546" s="49"/>
      <c r="AP546" s="49"/>
    </row>
    <row r="547">
      <c r="AH547" s="49"/>
      <c r="AP547" s="49"/>
    </row>
    <row r="548">
      <c r="AH548" s="49"/>
      <c r="AP548" s="49"/>
    </row>
    <row r="549">
      <c r="AH549" s="49"/>
      <c r="AP549" s="49"/>
    </row>
    <row r="550">
      <c r="AH550" s="49"/>
      <c r="AP550" s="49"/>
    </row>
    <row r="551">
      <c r="AH551" s="49"/>
      <c r="AP551" s="49"/>
    </row>
    <row r="552">
      <c r="AH552" s="49"/>
      <c r="AP552" s="49"/>
    </row>
    <row r="553">
      <c r="AH553" s="49"/>
      <c r="AP553" s="49"/>
    </row>
    <row r="554">
      <c r="AH554" s="49"/>
      <c r="AP554" s="49"/>
    </row>
    <row r="555">
      <c r="AH555" s="49"/>
      <c r="AP555" s="49"/>
    </row>
    <row r="556">
      <c r="AH556" s="49"/>
      <c r="AP556" s="49"/>
    </row>
    <row r="557">
      <c r="AH557" s="49"/>
      <c r="AP557" s="49"/>
    </row>
    <row r="558">
      <c r="AH558" s="49"/>
      <c r="AP558" s="49"/>
    </row>
    <row r="559">
      <c r="AH559" s="49"/>
      <c r="AP559" s="49"/>
    </row>
    <row r="560">
      <c r="AH560" s="49"/>
      <c r="AP560" s="49"/>
    </row>
    <row r="561">
      <c r="AH561" s="49"/>
      <c r="AP561" s="49"/>
    </row>
    <row r="562">
      <c r="AH562" s="49"/>
      <c r="AP562" s="49"/>
    </row>
    <row r="563">
      <c r="AH563" s="49"/>
      <c r="AP563" s="49"/>
    </row>
    <row r="564">
      <c r="AH564" s="49"/>
      <c r="AP564" s="49"/>
    </row>
    <row r="565">
      <c r="AH565" s="49"/>
      <c r="AP565" s="49"/>
    </row>
    <row r="566">
      <c r="AH566" s="49"/>
      <c r="AP566" s="49"/>
    </row>
    <row r="567">
      <c r="AH567" s="49"/>
      <c r="AP567" s="49"/>
    </row>
    <row r="568">
      <c r="AH568" s="49"/>
      <c r="AP568" s="49"/>
    </row>
    <row r="569">
      <c r="AH569" s="49"/>
      <c r="AP569" s="49"/>
    </row>
    <row r="570">
      <c r="AH570" s="49"/>
      <c r="AP570" s="49"/>
    </row>
    <row r="571">
      <c r="AH571" s="49"/>
      <c r="AP571" s="49"/>
    </row>
    <row r="572">
      <c r="AH572" s="49"/>
      <c r="AP572" s="49"/>
    </row>
    <row r="573">
      <c r="AH573" s="49"/>
      <c r="AP573" s="49"/>
    </row>
    <row r="574">
      <c r="AH574" s="49"/>
      <c r="AP574" s="49"/>
    </row>
    <row r="575">
      <c r="AH575" s="49"/>
      <c r="AP575" s="49"/>
    </row>
    <row r="576">
      <c r="AH576" s="49"/>
      <c r="AP576" s="49"/>
    </row>
    <row r="577">
      <c r="AH577" s="49"/>
      <c r="AP577" s="49"/>
    </row>
    <row r="578">
      <c r="AH578" s="49"/>
      <c r="AP578" s="49"/>
    </row>
    <row r="579">
      <c r="AH579" s="49"/>
      <c r="AP579" s="49"/>
    </row>
    <row r="580">
      <c r="AH580" s="49"/>
      <c r="AP580" s="49"/>
    </row>
    <row r="581">
      <c r="AH581" s="49"/>
      <c r="AP581" s="49"/>
    </row>
    <row r="582">
      <c r="AH582" s="49"/>
      <c r="AP582" s="49"/>
    </row>
    <row r="583">
      <c r="AH583" s="49"/>
      <c r="AP583" s="49"/>
    </row>
    <row r="584">
      <c r="AH584" s="49"/>
      <c r="AP584" s="49"/>
    </row>
    <row r="585">
      <c r="AH585" s="49"/>
      <c r="AP585" s="49"/>
    </row>
    <row r="586">
      <c r="AH586" s="49"/>
      <c r="AP586" s="49"/>
    </row>
    <row r="587">
      <c r="AH587" s="49"/>
      <c r="AP587" s="49"/>
    </row>
    <row r="588">
      <c r="AH588" s="49"/>
      <c r="AP588" s="49"/>
    </row>
    <row r="589">
      <c r="AH589" s="49"/>
      <c r="AP589" s="49"/>
    </row>
    <row r="590">
      <c r="AH590" s="49"/>
      <c r="AP590" s="49"/>
    </row>
    <row r="591">
      <c r="AH591" s="49"/>
      <c r="AP591" s="49"/>
    </row>
    <row r="592">
      <c r="AH592" s="49"/>
      <c r="AP592" s="49"/>
    </row>
    <row r="593">
      <c r="AH593" s="49"/>
      <c r="AP593" s="49"/>
    </row>
    <row r="594">
      <c r="AH594" s="49"/>
      <c r="AP594" s="49"/>
    </row>
    <row r="595">
      <c r="AH595" s="49"/>
      <c r="AP595" s="49"/>
    </row>
    <row r="596">
      <c r="AH596" s="49"/>
      <c r="AP596" s="49"/>
    </row>
    <row r="597">
      <c r="AH597" s="49"/>
      <c r="AP597" s="49"/>
    </row>
    <row r="598">
      <c r="AH598" s="49"/>
      <c r="AP598" s="49"/>
    </row>
    <row r="599">
      <c r="AH599" s="49"/>
      <c r="AP599" s="49"/>
    </row>
    <row r="600">
      <c r="AH600" s="49"/>
      <c r="AP600" s="49"/>
    </row>
    <row r="601">
      <c r="AH601" s="49"/>
      <c r="AP601" s="49"/>
    </row>
    <row r="602">
      <c r="AH602" s="49"/>
      <c r="AP602" s="49"/>
    </row>
    <row r="603">
      <c r="AH603" s="49"/>
      <c r="AP603" s="49"/>
    </row>
    <row r="604">
      <c r="AH604" s="49"/>
      <c r="AP604" s="49"/>
    </row>
    <row r="605">
      <c r="AH605" s="49"/>
      <c r="AP605" s="49"/>
    </row>
    <row r="606">
      <c r="AH606" s="49"/>
      <c r="AP606" s="49"/>
    </row>
    <row r="607">
      <c r="AH607" s="49"/>
      <c r="AP607" s="49"/>
    </row>
    <row r="608">
      <c r="AH608" s="49"/>
      <c r="AP608" s="49"/>
    </row>
    <row r="609">
      <c r="AH609" s="49"/>
      <c r="AP609" s="49"/>
    </row>
    <row r="610">
      <c r="AH610" s="49"/>
      <c r="AP610" s="49"/>
    </row>
    <row r="611">
      <c r="AH611" s="49"/>
      <c r="AP611" s="49"/>
    </row>
    <row r="612">
      <c r="AH612" s="49"/>
      <c r="AP612" s="49"/>
    </row>
    <row r="613">
      <c r="AH613" s="49"/>
      <c r="AP613" s="49"/>
    </row>
    <row r="614">
      <c r="AH614" s="49"/>
      <c r="AP614" s="49"/>
    </row>
    <row r="615">
      <c r="AH615" s="49"/>
      <c r="AP615" s="49"/>
    </row>
    <row r="616">
      <c r="AH616" s="49"/>
      <c r="AP616" s="49"/>
    </row>
    <row r="617">
      <c r="AH617" s="49"/>
      <c r="AP617" s="49"/>
    </row>
    <row r="618">
      <c r="AH618" s="49"/>
      <c r="AP618" s="49"/>
    </row>
    <row r="619">
      <c r="AH619" s="49"/>
      <c r="AP619" s="49"/>
    </row>
    <row r="620">
      <c r="AH620" s="49"/>
      <c r="AP620" s="49"/>
    </row>
    <row r="621">
      <c r="AH621" s="49"/>
      <c r="AP621" s="49"/>
    </row>
    <row r="622">
      <c r="AH622" s="49"/>
      <c r="AP622" s="49"/>
    </row>
    <row r="623">
      <c r="AH623" s="49"/>
      <c r="AP623" s="49"/>
    </row>
    <row r="624">
      <c r="AH624" s="49"/>
      <c r="AP624" s="49"/>
    </row>
    <row r="625">
      <c r="AH625" s="49"/>
      <c r="AP625" s="49"/>
    </row>
    <row r="626">
      <c r="AH626" s="49"/>
      <c r="AP626" s="49"/>
    </row>
    <row r="627">
      <c r="AH627" s="49"/>
      <c r="AP627" s="49"/>
    </row>
    <row r="628">
      <c r="AH628" s="49"/>
      <c r="AP628" s="49"/>
    </row>
    <row r="629">
      <c r="AH629" s="49"/>
      <c r="AP629" s="49"/>
    </row>
    <row r="630">
      <c r="AH630" s="49"/>
      <c r="AP630" s="49"/>
    </row>
    <row r="631">
      <c r="AH631" s="49"/>
      <c r="AP631" s="49"/>
    </row>
    <row r="632">
      <c r="AH632" s="49"/>
      <c r="AP632" s="49"/>
    </row>
    <row r="633">
      <c r="AH633" s="49"/>
      <c r="AP633" s="49"/>
    </row>
    <row r="634">
      <c r="AH634" s="49"/>
      <c r="AP634" s="49"/>
    </row>
    <row r="635">
      <c r="AH635" s="49"/>
      <c r="AP635" s="49"/>
    </row>
    <row r="636">
      <c r="AH636" s="49"/>
      <c r="AP636" s="49"/>
    </row>
    <row r="637">
      <c r="AH637" s="49"/>
      <c r="AP637" s="49"/>
    </row>
    <row r="638">
      <c r="AH638" s="49"/>
      <c r="AP638" s="49"/>
    </row>
    <row r="639">
      <c r="AH639" s="49"/>
      <c r="AP639" s="49"/>
    </row>
    <row r="640">
      <c r="AH640" s="49"/>
      <c r="AP640" s="49"/>
    </row>
    <row r="641">
      <c r="AH641" s="49"/>
      <c r="AP641" s="49"/>
    </row>
    <row r="642">
      <c r="AH642" s="49"/>
      <c r="AP642" s="49"/>
    </row>
    <row r="643">
      <c r="AH643" s="49"/>
      <c r="AP643" s="49"/>
    </row>
    <row r="644">
      <c r="AH644" s="49"/>
      <c r="AP644" s="49"/>
    </row>
    <row r="645">
      <c r="AH645" s="49"/>
      <c r="AP645" s="49"/>
    </row>
    <row r="646">
      <c r="AH646" s="49"/>
      <c r="AP646" s="49"/>
    </row>
    <row r="647">
      <c r="AH647" s="49"/>
      <c r="AP647" s="49"/>
    </row>
    <row r="648">
      <c r="AH648" s="49"/>
      <c r="AP648" s="49"/>
    </row>
    <row r="649">
      <c r="AH649" s="49"/>
      <c r="AP649" s="49"/>
    </row>
    <row r="650">
      <c r="AH650" s="49"/>
      <c r="AP650" s="49"/>
    </row>
    <row r="651">
      <c r="AH651" s="49"/>
      <c r="AP651" s="49"/>
    </row>
    <row r="652">
      <c r="AH652" s="49"/>
      <c r="AP652" s="49"/>
    </row>
    <row r="653">
      <c r="AH653" s="49"/>
      <c r="AP653" s="49"/>
    </row>
    <row r="654">
      <c r="AH654" s="49"/>
      <c r="AP654" s="49"/>
    </row>
    <row r="655">
      <c r="AH655" s="49"/>
      <c r="AP655" s="49"/>
    </row>
    <row r="656">
      <c r="AH656" s="49"/>
      <c r="AP656" s="49"/>
    </row>
    <row r="657">
      <c r="AH657" s="49"/>
      <c r="AP657" s="49"/>
    </row>
    <row r="658">
      <c r="AH658" s="49"/>
      <c r="AP658" s="49"/>
    </row>
    <row r="659">
      <c r="AH659" s="49"/>
      <c r="AP659" s="49"/>
    </row>
    <row r="660">
      <c r="AH660" s="49"/>
      <c r="AP660" s="49"/>
    </row>
    <row r="661">
      <c r="AH661" s="49"/>
      <c r="AP661" s="49"/>
    </row>
    <row r="662">
      <c r="AH662" s="49"/>
      <c r="AP662" s="49"/>
    </row>
    <row r="663">
      <c r="AH663" s="49"/>
      <c r="AP663" s="49"/>
    </row>
    <row r="664">
      <c r="AH664" s="49"/>
      <c r="AP664" s="49"/>
    </row>
    <row r="665">
      <c r="AH665" s="49"/>
      <c r="AP665" s="49"/>
    </row>
    <row r="666">
      <c r="AH666" s="49"/>
      <c r="AP666" s="49"/>
    </row>
    <row r="667">
      <c r="AH667" s="49"/>
      <c r="AP667" s="49"/>
    </row>
    <row r="668">
      <c r="AH668" s="49"/>
      <c r="AP668" s="49"/>
    </row>
    <row r="669">
      <c r="AH669" s="49"/>
      <c r="AP669" s="49"/>
    </row>
    <row r="670">
      <c r="AH670" s="49"/>
      <c r="AP670" s="49"/>
    </row>
    <row r="671">
      <c r="AH671" s="49"/>
      <c r="AP671" s="49"/>
    </row>
    <row r="672">
      <c r="AH672" s="49"/>
      <c r="AP672" s="49"/>
    </row>
    <row r="673">
      <c r="AH673" s="49"/>
      <c r="AP673" s="49"/>
    </row>
    <row r="674">
      <c r="AH674" s="49"/>
      <c r="AP674" s="49"/>
    </row>
    <row r="675">
      <c r="AH675" s="49"/>
      <c r="AP675" s="49"/>
    </row>
    <row r="676">
      <c r="AH676" s="49"/>
      <c r="AP676" s="49"/>
    </row>
    <row r="677">
      <c r="AH677" s="49"/>
      <c r="AP677" s="49"/>
    </row>
    <row r="678">
      <c r="AH678" s="49"/>
      <c r="AP678" s="49"/>
    </row>
    <row r="679">
      <c r="AH679" s="49"/>
      <c r="AP679" s="49"/>
    </row>
    <row r="680">
      <c r="AH680" s="49"/>
      <c r="AP680" s="49"/>
    </row>
    <row r="681">
      <c r="AH681" s="49"/>
      <c r="AP681" s="49"/>
    </row>
    <row r="682">
      <c r="AH682" s="49"/>
      <c r="AP682" s="49"/>
    </row>
    <row r="683">
      <c r="AH683" s="49"/>
      <c r="AP683" s="49"/>
    </row>
    <row r="684">
      <c r="AH684" s="49"/>
      <c r="AP684" s="49"/>
    </row>
    <row r="685">
      <c r="AH685" s="49"/>
      <c r="AP685" s="49"/>
    </row>
    <row r="686">
      <c r="AH686" s="49"/>
      <c r="AP686" s="49"/>
    </row>
    <row r="687">
      <c r="AH687" s="49"/>
      <c r="AP687" s="49"/>
    </row>
    <row r="688">
      <c r="AH688" s="49"/>
      <c r="AP688" s="49"/>
    </row>
    <row r="689">
      <c r="AH689" s="49"/>
      <c r="AP689" s="49"/>
    </row>
    <row r="690">
      <c r="AH690" s="49"/>
      <c r="AP690" s="49"/>
    </row>
    <row r="691">
      <c r="AH691" s="49"/>
      <c r="AP691" s="49"/>
    </row>
    <row r="692">
      <c r="AH692" s="49"/>
      <c r="AP692" s="49"/>
    </row>
    <row r="693">
      <c r="AH693" s="49"/>
      <c r="AP693" s="49"/>
    </row>
    <row r="694">
      <c r="AH694" s="49"/>
      <c r="AP694" s="49"/>
    </row>
    <row r="695">
      <c r="AH695" s="49"/>
      <c r="AP695" s="49"/>
    </row>
    <row r="696">
      <c r="AH696" s="49"/>
      <c r="AP696" s="49"/>
    </row>
    <row r="697">
      <c r="AH697" s="49"/>
      <c r="AP697" s="49"/>
    </row>
    <row r="698">
      <c r="AH698" s="49"/>
      <c r="AP698" s="49"/>
    </row>
    <row r="699">
      <c r="AH699" s="49"/>
      <c r="AP699" s="49"/>
    </row>
    <row r="700">
      <c r="AH700" s="49"/>
      <c r="AP700" s="49"/>
    </row>
    <row r="701">
      <c r="AH701" s="49"/>
      <c r="AP701" s="49"/>
    </row>
    <row r="702">
      <c r="AH702" s="49"/>
      <c r="AP702" s="49"/>
    </row>
    <row r="703">
      <c r="AH703" s="49"/>
      <c r="AP703" s="49"/>
    </row>
    <row r="704">
      <c r="AH704" s="49"/>
      <c r="AP704" s="49"/>
    </row>
    <row r="705">
      <c r="AH705" s="49"/>
      <c r="AP705" s="49"/>
    </row>
    <row r="706">
      <c r="AH706" s="49"/>
      <c r="AP706" s="49"/>
    </row>
    <row r="707">
      <c r="AH707" s="49"/>
      <c r="AP707" s="49"/>
    </row>
    <row r="708">
      <c r="AH708" s="49"/>
      <c r="AP708" s="49"/>
    </row>
    <row r="709">
      <c r="AH709" s="49"/>
      <c r="AP709" s="49"/>
    </row>
    <row r="710">
      <c r="AH710" s="49"/>
      <c r="AP710" s="49"/>
    </row>
    <row r="711">
      <c r="AH711" s="49"/>
      <c r="AP711" s="49"/>
    </row>
    <row r="712">
      <c r="AH712" s="49"/>
      <c r="AP712" s="49"/>
    </row>
    <row r="713">
      <c r="AH713" s="49"/>
      <c r="AP713" s="49"/>
    </row>
    <row r="714">
      <c r="AH714" s="49"/>
      <c r="AP714" s="49"/>
    </row>
    <row r="715">
      <c r="AH715" s="49"/>
      <c r="AP715" s="49"/>
    </row>
    <row r="716">
      <c r="AH716" s="49"/>
      <c r="AP716" s="49"/>
    </row>
    <row r="717">
      <c r="AH717" s="49"/>
      <c r="AP717" s="49"/>
    </row>
    <row r="718">
      <c r="AH718" s="49"/>
      <c r="AP718" s="49"/>
    </row>
    <row r="719">
      <c r="AH719" s="49"/>
      <c r="AP719" s="49"/>
    </row>
    <row r="720">
      <c r="AH720" s="49"/>
      <c r="AP720" s="49"/>
    </row>
    <row r="721">
      <c r="AH721" s="49"/>
      <c r="AP721" s="49"/>
    </row>
    <row r="722">
      <c r="AH722" s="49"/>
      <c r="AP722" s="49"/>
    </row>
    <row r="723">
      <c r="AH723" s="49"/>
      <c r="AP723" s="49"/>
    </row>
    <row r="724">
      <c r="AH724" s="49"/>
      <c r="AP724" s="49"/>
    </row>
    <row r="725">
      <c r="AH725" s="49"/>
      <c r="AP725" s="49"/>
    </row>
    <row r="726">
      <c r="AH726" s="49"/>
      <c r="AP726" s="49"/>
    </row>
    <row r="727">
      <c r="AH727" s="49"/>
      <c r="AP727" s="49"/>
    </row>
    <row r="728">
      <c r="AH728" s="49"/>
      <c r="AP728" s="49"/>
    </row>
    <row r="729">
      <c r="AH729" s="49"/>
      <c r="AP729" s="49"/>
    </row>
    <row r="730">
      <c r="AH730" s="49"/>
      <c r="AP730" s="49"/>
    </row>
    <row r="731">
      <c r="AH731" s="49"/>
      <c r="AP731" s="49"/>
    </row>
    <row r="732">
      <c r="AH732" s="49"/>
      <c r="AP732" s="49"/>
    </row>
    <row r="733">
      <c r="AH733" s="49"/>
      <c r="AP733" s="49"/>
    </row>
    <row r="734">
      <c r="AH734" s="49"/>
      <c r="AP734" s="49"/>
    </row>
    <row r="735">
      <c r="AH735" s="49"/>
      <c r="AP735" s="49"/>
    </row>
    <row r="736">
      <c r="AH736" s="49"/>
      <c r="AP736" s="49"/>
    </row>
    <row r="737">
      <c r="AH737" s="49"/>
      <c r="AP737" s="49"/>
    </row>
    <row r="738">
      <c r="AH738" s="49"/>
      <c r="AP738" s="49"/>
    </row>
    <row r="739">
      <c r="AH739" s="49"/>
      <c r="AP739" s="49"/>
    </row>
    <row r="740">
      <c r="AH740" s="49"/>
      <c r="AP740" s="49"/>
    </row>
    <row r="741">
      <c r="AH741" s="49"/>
      <c r="AP741" s="49"/>
    </row>
    <row r="742">
      <c r="AH742" s="49"/>
      <c r="AP742" s="49"/>
    </row>
    <row r="743">
      <c r="AH743" s="49"/>
      <c r="AP743" s="49"/>
    </row>
    <row r="744">
      <c r="AH744" s="49"/>
      <c r="AP744" s="49"/>
    </row>
    <row r="745">
      <c r="AH745" s="49"/>
      <c r="AP745" s="49"/>
    </row>
    <row r="746">
      <c r="AH746" s="49"/>
      <c r="AP746" s="49"/>
    </row>
    <row r="747">
      <c r="AH747" s="49"/>
      <c r="AP747" s="49"/>
    </row>
    <row r="748">
      <c r="AH748" s="49"/>
      <c r="AP748" s="49"/>
    </row>
    <row r="749">
      <c r="AH749" s="49"/>
      <c r="AP749" s="49"/>
    </row>
    <row r="750">
      <c r="AH750" s="49"/>
      <c r="AP750" s="49"/>
    </row>
    <row r="751">
      <c r="AH751" s="49"/>
      <c r="AP751" s="49"/>
    </row>
    <row r="752">
      <c r="AH752" s="49"/>
      <c r="AP752" s="49"/>
    </row>
    <row r="753">
      <c r="AH753" s="49"/>
      <c r="AP753" s="49"/>
    </row>
    <row r="754">
      <c r="AH754" s="49"/>
      <c r="AP754" s="49"/>
    </row>
    <row r="755">
      <c r="AH755" s="49"/>
      <c r="AP755" s="49"/>
    </row>
    <row r="756">
      <c r="AH756" s="49"/>
      <c r="AP756" s="49"/>
    </row>
    <row r="757">
      <c r="AH757" s="49"/>
      <c r="AP757" s="49"/>
    </row>
    <row r="758">
      <c r="AH758" s="49"/>
      <c r="AP758" s="49"/>
    </row>
    <row r="759">
      <c r="AH759" s="49"/>
      <c r="AP759" s="49"/>
    </row>
    <row r="760">
      <c r="AH760" s="49"/>
      <c r="AP760" s="49"/>
    </row>
    <row r="761">
      <c r="AH761" s="49"/>
      <c r="AP761" s="49"/>
    </row>
    <row r="762">
      <c r="AH762" s="49"/>
      <c r="AP762" s="49"/>
    </row>
    <row r="763">
      <c r="AH763" s="49"/>
      <c r="AP763" s="49"/>
    </row>
    <row r="764">
      <c r="AH764" s="49"/>
      <c r="AP764" s="49"/>
    </row>
    <row r="765">
      <c r="AH765" s="49"/>
      <c r="AP765" s="49"/>
    </row>
    <row r="766">
      <c r="AH766" s="49"/>
      <c r="AP766" s="49"/>
    </row>
    <row r="767">
      <c r="AH767" s="49"/>
      <c r="AP767" s="49"/>
    </row>
    <row r="768">
      <c r="AH768" s="49"/>
      <c r="AP768" s="49"/>
    </row>
    <row r="769">
      <c r="AH769" s="49"/>
      <c r="AP769" s="49"/>
    </row>
    <row r="770">
      <c r="AH770" s="49"/>
      <c r="AP770" s="49"/>
    </row>
    <row r="771">
      <c r="AH771" s="49"/>
      <c r="AP771" s="49"/>
    </row>
    <row r="772">
      <c r="AH772" s="49"/>
      <c r="AP772" s="49"/>
    </row>
    <row r="773">
      <c r="AH773" s="49"/>
      <c r="AP773" s="49"/>
    </row>
    <row r="774">
      <c r="AH774" s="49"/>
      <c r="AP774" s="49"/>
    </row>
    <row r="775">
      <c r="AH775" s="49"/>
      <c r="AP775" s="49"/>
    </row>
    <row r="776">
      <c r="AH776" s="49"/>
      <c r="AP776" s="49"/>
    </row>
    <row r="777">
      <c r="AH777" s="49"/>
      <c r="AP777" s="49"/>
    </row>
    <row r="778">
      <c r="AH778" s="49"/>
      <c r="AP778" s="49"/>
    </row>
    <row r="779">
      <c r="AH779" s="49"/>
      <c r="AP779" s="49"/>
    </row>
    <row r="780">
      <c r="AH780" s="49"/>
      <c r="AP780" s="49"/>
    </row>
    <row r="781">
      <c r="AH781" s="49"/>
      <c r="AP781" s="49"/>
    </row>
    <row r="782">
      <c r="AH782" s="49"/>
      <c r="AP782" s="49"/>
    </row>
    <row r="783">
      <c r="AH783" s="49"/>
      <c r="AP783" s="49"/>
    </row>
    <row r="784">
      <c r="AH784" s="49"/>
      <c r="AP784" s="49"/>
    </row>
    <row r="785">
      <c r="AH785" s="49"/>
      <c r="AP785" s="49"/>
    </row>
    <row r="786">
      <c r="AH786" s="49"/>
      <c r="AP786" s="49"/>
    </row>
    <row r="787">
      <c r="AH787" s="49"/>
      <c r="AP787" s="49"/>
    </row>
    <row r="788">
      <c r="AH788" s="49"/>
      <c r="AP788" s="49"/>
    </row>
    <row r="789">
      <c r="AH789" s="49"/>
      <c r="AP789" s="49"/>
    </row>
    <row r="790">
      <c r="AH790" s="49"/>
      <c r="AP790" s="49"/>
    </row>
    <row r="791">
      <c r="AH791" s="49"/>
      <c r="AP791" s="49"/>
    </row>
    <row r="792">
      <c r="AH792" s="49"/>
      <c r="AP792" s="49"/>
    </row>
    <row r="793">
      <c r="AH793" s="49"/>
      <c r="AP793" s="49"/>
    </row>
    <row r="794">
      <c r="AH794" s="49"/>
      <c r="AP794" s="49"/>
    </row>
    <row r="795">
      <c r="AH795" s="49"/>
      <c r="AP795" s="49"/>
    </row>
    <row r="796">
      <c r="AH796" s="49"/>
      <c r="AP796" s="49"/>
    </row>
    <row r="797">
      <c r="AH797" s="49"/>
      <c r="AP797" s="49"/>
    </row>
    <row r="798">
      <c r="AH798" s="49"/>
      <c r="AP798" s="49"/>
    </row>
    <row r="799">
      <c r="AH799" s="49"/>
      <c r="AP799" s="49"/>
    </row>
    <row r="800">
      <c r="AH800" s="49"/>
      <c r="AP800" s="49"/>
    </row>
    <row r="801">
      <c r="AH801" s="49"/>
      <c r="AP801" s="49"/>
    </row>
    <row r="802">
      <c r="AH802" s="49"/>
      <c r="AP802" s="49"/>
    </row>
    <row r="803">
      <c r="AH803" s="49"/>
      <c r="AP803" s="49"/>
    </row>
    <row r="804">
      <c r="AH804" s="49"/>
      <c r="AP804" s="49"/>
    </row>
    <row r="805">
      <c r="AH805" s="49"/>
      <c r="AP805" s="49"/>
    </row>
    <row r="806">
      <c r="AH806" s="49"/>
      <c r="AP806" s="49"/>
    </row>
    <row r="807">
      <c r="AH807" s="49"/>
      <c r="AP807" s="49"/>
    </row>
    <row r="808">
      <c r="AH808" s="49"/>
      <c r="AP808" s="49"/>
    </row>
    <row r="809">
      <c r="AH809" s="49"/>
      <c r="AP809" s="49"/>
    </row>
    <row r="810">
      <c r="AH810" s="49"/>
      <c r="AP810" s="49"/>
    </row>
    <row r="811">
      <c r="AH811" s="49"/>
      <c r="AP811" s="49"/>
    </row>
    <row r="812">
      <c r="AH812" s="49"/>
      <c r="AP812" s="49"/>
    </row>
    <row r="813">
      <c r="AH813" s="49"/>
      <c r="AP813" s="49"/>
    </row>
    <row r="814">
      <c r="AH814" s="49"/>
      <c r="AP814" s="49"/>
    </row>
    <row r="815">
      <c r="AH815" s="49"/>
      <c r="AP815" s="49"/>
    </row>
    <row r="816">
      <c r="AH816" s="49"/>
      <c r="AP816" s="49"/>
    </row>
    <row r="817">
      <c r="AH817" s="49"/>
      <c r="AP817" s="49"/>
    </row>
    <row r="818">
      <c r="AH818" s="49"/>
      <c r="AP818" s="49"/>
    </row>
    <row r="819">
      <c r="AH819" s="49"/>
      <c r="AP819" s="49"/>
    </row>
    <row r="820">
      <c r="AH820" s="49"/>
      <c r="AP820" s="49"/>
    </row>
    <row r="821">
      <c r="AH821" s="49"/>
      <c r="AP821" s="49"/>
    </row>
    <row r="822">
      <c r="AH822" s="49"/>
      <c r="AP822" s="49"/>
    </row>
    <row r="823">
      <c r="AH823" s="49"/>
      <c r="AP823" s="49"/>
    </row>
    <row r="824">
      <c r="AH824" s="49"/>
      <c r="AP824" s="49"/>
    </row>
    <row r="825">
      <c r="AH825" s="49"/>
      <c r="AP825" s="49"/>
    </row>
    <row r="826">
      <c r="AH826" s="49"/>
      <c r="AP826" s="49"/>
    </row>
    <row r="827">
      <c r="AH827" s="49"/>
      <c r="AP827" s="49"/>
    </row>
    <row r="828">
      <c r="AH828" s="49"/>
      <c r="AP828" s="49"/>
    </row>
    <row r="829">
      <c r="AH829" s="49"/>
      <c r="AP829" s="49"/>
    </row>
    <row r="830">
      <c r="AH830" s="49"/>
      <c r="AP830" s="49"/>
    </row>
    <row r="831">
      <c r="AH831" s="49"/>
      <c r="AP831" s="49"/>
    </row>
    <row r="832">
      <c r="AH832" s="49"/>
      <c r="AP832" s="49"/>
    </row>
    <row r="833">
      <c r="AH833" s="49"/>
      <c r="AP833" s="49"/>
    </row>
    <row r="834">
      <c r="AH834" s="49"/>
      <c r="AP834" s="49"/>
    </row>
    <row r="835">
      <c r="AH835" s="49"/>
      <c r="AP835" s="49"/>
    </row>
    <row r="836">
      <c r="AH836" s="49"/>
      <c r="AP836" s="49"/>
    </row>
    <row r="837">
      <c r="AH837" s="49"/>
      <c r="AP837" s="49"/>
    </row>
    <row r="838">
      <c r="AH838" s="49"/>
      <c r="AP838" s="49"/>
    </row>
    <row r="839">
      <c r="AH839" s="49"/>
      <c r="AP839" s="49"/>
    </row>
    <row r="840">
      <c r="AH840" s="49"/>
      <c r="AP840" s="49"/>
    </row>
    <row r="841">
      <c r="AH841" s="49"/>
      <c r="AP841" s="49"/>
    </row>
    <row r="842">
      <c r="AH842" s="49"/>
      <c r="AP842" s="49"/>
    </row>
    <row r="843">
      <c r="AH843" s="49"/>
      <c r="AP843" s="49"/>
    </row>
    <row r="844">
      <c r="AH844" s="49"/>
      <c r="AP844" s="49"/>
    </row>
    <row r="845">
      <c r="AH845" s="49"/>
      <c r="AP845" s="49"/>
    </row>
    <row r="846">
      <c r="AH846" s="49"/>
      <c r="AP846" s="49"/>
    </row>
    <row r="847">
      <c r="AH847" s="49"/>
      <c r="AP847" s="49"/>
    </row>
    <row r="848">
      <c r="AH848" s="49"/>
      <c r="AP848" s="49"/>
    </row>
    <row r="849">
      <c r="AH849" s="49"/>
      <c r="AP849" s="49"/>
    </row>
    <row r="850">
      <c r="AH850" s="49"/>
      <c r="AP850" s="49"/>
    </row>
    <row r="851">
      <c r="AH851" s="49"/>
      <c r="AP851" s="49"/>
    </row>
    <row r="852">
      <c r="AH852" s="49"/>
      <c r="AP852" s="49"/>
    </row>
    <row r="853">
      <c r="AH853" s="49"/>
      <c r="AP853" s="49"/>
    </row>
    <row r="854">
      <c r="AH854" s="49"/>
      <c r="AP854" s="49"/>
    </row>
    <row r="855">
      <c r="AH855" s="49"/>
      <c r="AP855" s="49"/>
    </row>
    <row r="856">
      <c r="AH856" s="49"/>
      <c r="AP856" s="49"/>
    </row>
    <row r="857">
      <c r="AH857" s="49"/>
      <c r="AP857" s="49"/>
    </row>
    <row r="858">
      <c r="AH858" s="49"/>
      <c r="AP858" s="49"/>
    </row>
    <row r="859">
      <c r="AH859" s="49"/>
      <c r="AP859" s="49"/>
    </row>
    <row r="860">
      <c r="AH860" s="49"/>
      <c r="AP860" s="49"/>
    </row>
    <row r="861">
      <c r="AH861" s="49"/>
      <c r="AP861" s="49"/>
    </row>
    <row r="862">
      <c r="AH862" s="49"/>
      <c r="AP862" s="49"/>
    </row>
    <row r="863">
      <c r="AH863" s="49"/>
      <c r="AP863" s="49"/>
    </row>
    <row r="864">
      <c r="AH864" s="49"/>
      <c r="AP864" s="49"/>
    </row>
    <row r="865">
      <c r="AH865" s="49"/>
      <c r="AP865" s="49"/>
    </row>
    <row r="866">
      <c r="AH866" s="49"/>
      <c r="AP866" s="49"/>
    </row>
    <row r="867">
      <c r="AH867" s="49"/>
      <c r="AP867" s="49"/>
    </row>
    <row r="868">
      <c r="AH868" s="49"/>
      <c r="AP868" s="49"/>
    </row>
    <row r="869">
      <c r="AH869" s="49"/>
      <c r="AP869" s="49"/>
    </row>
    <row r="870">
      <c r="AH870" s="49"/>
      <c r="AP870" s="49"/>
    </row>
    <row r="871">
      <c r="AH871" s="49"/>
      <c r="AP871" s="49"/>
    </row>
    <row r="872">
      <c r="AH872" s="49"/>
      <c r="AP872" s="49"/>
    </row>
    <row r="873">
      <c r="AH873" s="49"/>
      <c r="AP873" s="49"/>
    </row>
    <row r="874">
      <c r="AH874" s="49"/>
      <c r="AP874" s="49"/>
    </row>
    <row r="875">
      <c r="AH875" s="49"/>
      <c r="AP875" s="49"/>
    </row>
    <row r="876">
      <c r="AH876" s="49"/>
      <c r="AP876" s="49"/>
    </row>
    <row r="877">
      <c r="AH877" s="49"/>
      <c r="AP877" s="49"/>
    </row>
    <row r="878">
      <c r="AH878" s="49"/>
      <c r="AP878" s="49"/>
    </row>
    <row r="879">
      <c r="AH879" s="49"/>
      <c r="AP879" s="49"/>
    </row>
    <row r="880">
      <c r="AH880" s="49"/>
      <c r="AP880" s="49"/>
    </row>
    <row r="881">
      <c r="AH881" s="49"/>
      <c r="AP881" s="49"/>
    </row>
    <row r="882">
      <c r="AH882" s="49"/>
      <c r="AP882" s="49"/>
    </row>
    <row r="883">
      <c r="AH883" s="49"/>
      <c r="AP883" s="49"/>
    </row>
    <row r="884">
      <c r="AH884" s="49"/>
      <c r="AP884" s="49"/>
    </row>
    <row r="885">
      <c r="AH885" s="49"/>
      <c r="AP885" s="49"/>
    </row>
    <row r="886">
      <c r="AH886" s="49"/>
      <c r="AP886" s="49"/>
    </row>
    <row r="887">
      <c r="AH887" s="49"/>
      <c r="AP887" s="49"/>
    </row>
    <row r="888">
      <c r="AH888" s="49"/>
      <c r="AP888" s="49"/>
    </row>
    <row r="889">
      <c r="AH889" s="49"/>
      <c r="AP889" s="49"/>
    </row>
    <row r="890">
      <c r="AH890" s="49"/>
      <c r="AP890" s="49"/>
    </row>
    <row r="891">
      <c r="AH891" s="49"/>
      <c r="AP891" s="49"/>
    </row>
    <row r="892">
      <c r="AH892" s="49"/>
      <c r="AP892" s="49"/>
    </row>
    <row r="893">
      <c r="AH893" s="49"/>
      <c r="AP893" s="49"/>
    </row>
    <row r="894">
      <c r="AH894" s="49"/>
      <c r="AP894" s="49"/>
    </row>
    <row r="895">
      <c r="AH895" s="49"/>
      <c r="AP895" s="49"/>
    </row>
    <row r="896">
      <c r="AH896" s="49"/>
      <c r="AP896" s="49"/>
    </row>
    <row r="897">
      <c r="AH897" s="49"/>
      <c r="AP897" s="49"/>
    </row>
    <row r="898">
      <c r="AH898" s="49"/>
      <c r="AP898" s="49"/>
    </row>
    <row r="899">
      <c r="AH899" s="49"/>
      <c r="AP899" s="49"/>
    </row>
    <row r="900">
      <c r="AH900" s="49"/>
      <c r="AP900" s="49"/>
    </row>
    <row r="901">
      <c r="AH901" s="49"/>
      <c r="AP901" s="49"/>
    </row>
    <row r="902">
      <c r="AH902" s="49"/>
      <c r="AP902" s="49"/>
    </row>
    <row r="903">
      <c r="AH903" s="49"/>
      <c r="AP903" s="49"/>
    </row>
    <row r="904">
      <c r="AH904" s="49"/>
      <c r="AP904" s="49"/>
    </row>
    <row r="905">
      <c r="AH905" s="49"/>
      <c r="AP905" s="49"/>
    </row>
    <row r="906">
      <c r="AH906" s="49"/>
      <c r="AP906" s="49"/>
    </row>
    <row r="907">
      <c r="AH907" s="49"/>
      <c r="AP907" s="49"/>
    </row>
    <row r="908">
      <c r="AH908" s="49"/>
      <c r="AP908" s="49"/>
    </row>
    <row r="909">
      <c r="AH909" s="49"/>
      <c r="AP909" s="49"/>
    </row>
    <row r="910">
      <c r="AH910" s="49"/>
      <c r="AP910" s="49"/>
    </row>
    <row r="911">
      <c r="AH911" s="49"/>
      <c r="AP911" s="49"/>
    </row>
    <row r="912">
      <c r="AH912" s="49"/>
      <c r="AP912" s="49"/>
    </row>
    <row r="913">
      <c r="AH913" s="49"/>
      <c r="AP913" s="49"/>
    </row>
    <row r="914">
      <c r="AH914" s="49"/>
      <c r="AP914" s="49"/>
    </row>
    <row r="915">
      <c r="AH915" s="49"/>
      <c r="AP915" s="49"/>
    </row>
    <row r="916">
      <c r="AH916" s="49"/>
      <c r="AP916" s="49"/>
    </row>
    <row r="917">
      <c r="AH917" s="49"/>
      <c r="AP917" s="49"/>
    </row>
    <row r="918">
      <c r="AH918" s="49"/>
      <c r="AP918" s="49"/>
    </row>
    <row r="919">
      <c r="AH919" s="49"/>
      <c r="AP919" s="49"/>
    </row>
    <row r="920">
      <c r="AH920" s="49"/>
      <c r="AP920" s="49"/>
    </row>
    <row r="921">
      <c r="AH921" s="49"/>
      <c r="AP921" s="49"/>
    </row>
    <row r="922">
      <c r="AH922" s="49"/>
      <c r="AP922" s="49"/>
    </row>
    <row r="923">
      <c r="AH923" s="49"/>
      <c r="AP923" s="49"/>
    </row>
    <row r="924">
      <c r="AH924" s="49"/>
      <c r="AP924" s="49"/>
    </row>
    <row r="925">
      <c r="AH925" s="49"/>
      <c r="AP925" s="49"/>
    </row>
    <row r="926">
      <c r="AH926" s="49"/>
      <c r="AP926" s="49"/>
    </row>
    <row r="927">
      <c r="AH927" s="49"/>
      <c r="AP927" s="49"/>
    </row>
    <row r="928">
      <c r="AH928" s="49"/>
      <c r="AP928" s="49"/>
    </row>
    <row r="929">
      <c r="AH929" s="49"/>
      <c r="AP929" s="49"/>
    </row>
    <row r="930">
      <c r="AH930" s="49"/>
      <c r="AP930" s="49"/>
    </row>
    <row r="931">
      <c r="AH931" s="49"/>
      <c r="AP931" s="49"/>
    </row>
    <row r="932">
      <c r="AH932" s="49"/>
      <c r="AP932" s="49"/>
    </row>
    <row r="933">
      <c r="AH933" s="49"/>
      <c r="AP933" s="49"/>
    </row>
    <row r="934">
      <c r="AH934" s="49"/>
      <c r="AP934" s="49"/>
    </row>
    <row r="935">
      <c r="AH935" s="49"/>
      <c r="AP935" s="49"/>
    </row>
    <row r="936">
      <c r="AH936" s="49"/>
      <c r="AP936" s="49"/>
    </row>
    <row r="937">
      <c r="AH937" s="49"/>
      <c r="AP937" s="49"/>
    </row>
    <row r="938">
      <c r="AH938" s="49"/>
      <c r="AP938" s="49"/>
    </row>
    <row r="939">
      <c r="AH939" s="49"/>
      <c r="AP939" s="49"/>
    </row>
    <row r="940">
      <c r="AH940" s="49"/>
      <c r="AP940" s="49"/>
    </row>
    <row r="941">
      <c r="AH941" s="49"/>
      <c r="AP941" s="49"/>
    </row>
    <row r="942">
      <c r="AH942" s="49"/>
      <c r="AP942" s="49"/>
    </row>
    <row r="943">
      <c r="AH943" s="49"/>
      <c r="AP943" s="49"/>
    </row>
    <row r="944">
      <c r="AH944" s="49"/>
      <c r="AP944" s="49"/>
    </row>
    <row r="945">
      <c r="AH945" s="49"/>
      <c r="AP945" s="49"/>
    </row>
    <row r="946">
      <c r="AH946" s="49"/>
      <c r="AP946" s="49"/>
    </row>
    <row r="947">
      <c r="AH947" s="49"/>
      <c r="AP947" s="49"/>
    </row>
    <row r="948">
      <c r="AH948" s="49"/>
      <c r="AP948" s="49"/>
    </row>
    <row r="949">
      <c r="AH949" s="49"/>
      <c r="AP949" s="49"/>
    </row>
    <row r="950">
      <c r="AH950" s="49"/>
      <c r="AP950" s="49"/>
    </row>
    <row r="951">
      <c r="AH951" s="49"/>
      <c r="AP951" s="49"/>
    </row>
    <row r="952">
      <c r="AH952" s="49"/>
      <c r="AP952" s="49"/>
    </row>
    <row r="953">
      <c r="AH953" s="49"/>
      <c r="AP953" s="49"/>
    </row>
    <row r="954">
      <c r="AH954" s="49"/>
      <c r="AP954" s="49"/>
    </row>
    <row r="955">
      <c r="AH955" s="49"/>
      <c r="AP955" s="49"/>
    </row>
    <row r="956">
      <c r="AH956" s="49"/>
      <c r="AP956" s="49"/>
    </row>
    <row r="957">
      <c r="AH957" s="49"/>
      <c r="AP957" s="49"/>
    </row>
    <row r="958">
      <c r="AH958" s="49"/>
      <c r="AP958" s="49"/>
    </row>
    <row r="959">
      <c r="AH959" s="49"/>
      <c r="AP959" s="49"/>
    </row>
    <row r="960">
      <c r="AH960" s="49"/>
      <c r="AP960" s="49"/>
    </row>
    <row r="961">
      <c r="AH961" s="49"/>
      <c r="AP961" s="49"/>
    </row>
    <row r="962">
      <c r="AH962" s="49"/>
      <c r="AP962" s="49"/>
    </row>
    <row r="963">
      <c r="AH963" s="49"/>
      <c r="AP963" s="49"/>
    </row>
    <row r="964">
      <c r="AH964" s="49"/>
      <c r="AP964" s="49"/>
    </row>
    <row r="965">
      <c r="AH965" s="49"/>
      <c r="AP965" s="49"/>
    </row>
    <row r="966">
      <c r="AH966" s="49"/>
      <c r="AP966" s="49"/>
    </row>
    <row r="967">
      <c r="AH967" s="49"/>
      <c r="AP967" s="49"/>
    </row>
    <row r="968">
      <c r="AH968" s="49"/>
      <c r="AP968" s="49"/>
    </row>
    <row r="969">
      <c r="AH969" s="49"/>
      <c r="AP969" s="49"/>
    </row>
    <row r="970">
      <c r="AH970" s="49"/>
      <c r="AP970" s="49"/>
    </row>
    <row r="971">
      <c r="AH971" s="49"/>
      <c r="AP971" s="49"/>
    </row>
    <row r="972">
      <c r="AH972" s="49"/>
      <c r="AP972" s="49"/>
    </row>
    <row r="973">
      <c r="AH973" s="49"/>
      <c r="AP973" s="49"/>
    </row>
    <row r="974">
      <c r="AH974" s="49"/>
      <c r="AP974" s="49"/>
    </row>
    <row r="975">
      <c r="AH975" s="49"/>
      <c r="AP975" s="49"/>
    </row>
    <row r="976">
      <c r="AH976" s="49"/>
      <c r="AP976" s="49"/>
    </row>
    <row r="977">
      <c r="AH977" s="49"/>
      <c r="AP977" s="49"/>
    </row>
    <row r="978">
      <c r="AH978" s="49"/>
      <c r="AP978" s="49"/>
    </row>
    <row r="979">
      <c r="AH979" s="49"/>
      <c r="AP979" s="49"/>
    </row>
    <row r="980">
      <c r="AH980" s="49"/>
      <c r="AP980" s="49"/>
    </row>
    <row r="981">
      <c r="AH981" s="49"/>
      <c r="AP981" s="49"/>
    </row>
    <row r="982">
      <c r="AH982" s="49"/>
      <c r="AP982" s="49"/>
    </row>
    <row r="983">
      <c r="AH983" s="49"/>
      <c r="AP983" s="49"/>
    </row>
    <row r="984">
      <c r="AH984" s="49"/>
      <c r="AP984" s="49"/>
    </row>
    <row r="985">
      <c r="AH985" s="49"/>
      <c r="AP985" s="49"/>
    </row>
    <row r="986">
      <c r="AH986" s="49"/>
      <c r="AP986" s="49"/>
    </row>
    <row r="987">
      <c r="AH987" s="49"/>
      <c r="AP987" s="49"/>
    </row>
    <row r="988">
      <c r="AH988" s="49"/>
      <c r="AP988" s="49"/>
    </row>
    <row r="989">
      <c r="AH989" s="49"/>
      <c r="AP989" s="49"/>
    </row>
    <row r="990">
      <c r="AH990" s="49"/>
      <c r="AP990" s="49"/>
    </row>
    <row r="991">
      <c r="AH991" s="49"/>
      <c r="AP991" s="49"/>
    </row>
    <row r="992">
      <c r="AH992" s="49"/>
      <c r="AP992" s="49"/>
    </row>
    <row r="993">
      <c r="AH993" s="49"/>
      <c r="AP993" s="49"/>
    </row>
    <row r="994">
      <c r="AH994" s="49"/>
      <c r="AP994" s="49"/>
    </row>
    <row r="995">
      <c r="AH995" s="49"/>
      <c r="AP995" s="49"/>
    </row>
    <row r="996">
      <c r="AH996" s="49"/>
      <c r="AP996" s="49"/>
    </row>
    <row r="997">
      <c r="AH997" s="49"/>
      <c r="AP997" s="49"/>
    </row>
    <row r="998">
      <c r="AH998" s="49"/>
      <c r="AP998" s="49"/>
    </row>
    <row r="999">
      <c r="AH999" s="49"/>
      <c r="AP999" s="49"/>
    </row>
    <row r="1000">
      <c r="AH1000" s="49"/>
      <c r="AP1000" s="49"/>
    </row>
    <row r="1001">
      <c r="AH1001" s="49"/>
      <c r="AP1001" s="49"/>
    </row>
  </sheetData>
  <mergeCells count="2">
    <mergeCell ref="C5:G5"/>
    <mergeCell ref="K5:Q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  <col customWidth="1" min="3" max="3" width="26.0"/>
    <col customWidth="1" min="4" max="4" width="10.25"/>
    <col customWidth="1" min="7" max="7" width="31.25"/>
  </cols>
  <sheetData>
    <row r="4">
      <c r="B4" s="58"/>
      <c r="C4" s="58"/>
      <c r="D4" s="58"/>
    </row>
    <row r="7">
      <c r="B7" s="59" t="s">
        <v>239</v>
      </c>
      <c r="C7" s="60"/>
      <c r="D7" s="60"/>
      <c r="E7" s="61"/>
    </row>
    <row r="8">
      <c r="B8" s="62" t="s">
        <v>4</v>
      </c>
      <c r="C8" s="62" t="s">
        <v>240</v>
      </c>
      <c r="D8" s="62" t="s">
        <v>241</v>
      </c>
      <c r="E8" s="13" t="s">
        <v>242</v>
      </c>
    </row>
    <row r="9">
      <c r="B9" s="19" t="s">
        <v>243</v>
      </c>
      <c r="C9" s="58">
        <v>86550.0</v>
      </c>
      <c r="D9" s="19">
        <v>2.0</v>
      </c>
      <c r="E9" s="63">
        <f>C9*D9</f>
        <v>173100</v>
      </c>
    </row>
    <row r="10">
      <c r="B10" s="19" t="s">
        <v>244</v>
      </c>
      <c r="C10" s="58">
        <v>3400.0</v>
      </c>
      <c r="D10" s="19">
        <v>1.0</v>
      </c>
      <c r="E10" s="63">
        <f>D10*C10</f>
        <v>3400</v>
      </c>
    </row>
    <row r="11">
      <c r="B11" s="19" t="s">
        <v>245</v>
      </c>
      <c r="C11" s="58">
        <v>406.0</v>
      </c>
      <c r="D11" s="19">
        <v>2.0</v>
      </c>
      <c r="E11" s="63">
        <f t="shared" ref="E11:E21" si="1">C11*D11</f>
        <v>812</v>
      </c>
    </row>
    <row r="12">
      <c r="B12" s="19" t="s">
        <v>246</v>
      </c>
      <c r="C12" s="58">
        <v>0.0</v>
      </c>
      <c r="E12" s="63">
        <f t="shared" si="1"/>
        <v>0</v>
      </c>
    </row>
    <row r="13">
      <c r="B13" s="19" t="s">
        <v>247</v>
      </c>
      <c r="C13" s="58">
        <v>1000.0</v>
      </c>
      <c r="D13" s="19">
        <v>1.0</v>
      </c>
      <c r="E13" s="63">
        <f t="shared" si="1"/>
        <v>1000</v>
      </c>
    </row>
    <row r="14">
      <c r="B14" s="19" t="s">
        <v>248</v>
      </c>
      <c r="C14" s="58">
        <v>1000.0</v>
      </c>
      <c r="D14" s="19">
        <v>2.0</v>
      </c>
      <c r="E14" s="63">
        <f t="shared" si="1"/>
        <v>2000</v>
      </c>
    </row>
    <row r="15">
      <c r="B15" s="19" t="s">
        <v>249</v>
      </c>
      <c r="C15" s="58">
        <v>500.0</v>
      </c>
      <c r="D15" s="19">
        <v>2.0</v>
      </c>
      <c r="E15" s="63">
        <f t="shared" si="1"/>
        <v>1000</v>
      </c>
    </row>
    <row r="16">
      <c r="B16" s="19" t="s">
        <v>250</v>
      </c>
      <c r="C16" s="58">
        <v>1668.0</v>
      </c>
      <c r="D16" s="19">
        <v>21.0</v>
      </c>
      <c r="E16" s="63">
        <f t="shared" si="1"/>
        <v>35028</v>
      </c>
    </row>
    <row r="17">
      <c r="B17" s="19" t="s">
        <v>15</v>
      </c>
      <c r="C17" s="58">
        <v>400.0</v>
      </c>
      <c r="D17" s="19">
        <v>21.0</v>
      </c>
      <c r="E17" s="63">
        <f t="shared" si="1"/>
        <v>8400</v>
      </c>
    </row>
    <row r="18">
      <c r="B18" s="19" t="s">
        <v>251</v>
      </c>
      <c r="C18" s="58">
        <v>150.0</v>
      </c>
      <c r="D18" s="19">
        <v>21.0</v>
      </c>
      <c r="E18" s="63">
        <f t="shared" si="1"/>
        <v>3150</v>
      </c>
    </row>
    <row r="19">
      <c r="B19" s="19" t="s">
        <v>252</v>
      </c>
      <c r="C19" s="58">
        <v>300.0</v>
      </c>
      <c r="D19" s="19">
        <v>21.0</v>
      </c>
      <c r="E19" s="63">
        <f t="shared" si="1"/>
        <v>6300</v>
      </c>
    </row>
    <row r="20">
      <c r="B20" s="19" t="s">
        <v>79</v>
      </c>
      <c r="C20" s="58">
        <v>3300.0</v>
      </c>
      <c r="D20" s="19">
        <v>6.0</v>
      </c>
      <c r="E20" s="63">
        <f t="shared" si="1"/>
        <v>19800</v>
      </c>
    </row>
    <row r="21">
      <c r="B21" s="19" t="s">
        <v>253</v>
      </c>
      <c r="C21" s="58">
        <v>300.0</v>
      </c>
      <c r="D21" s="19">
        <v>21.0</v>
      </c>
      <c r="E21" s="63">
        <f t="shared" si="1"/>
        <v>6300</v>
      </c>
    </row>
    <row r="22">
      <c r="B22" s="64" t="s">
        <v>27</v>
      </c>
      <c r="C22" s="65"/>
      <c r="D22" s="65"/>
      <c r="E22" s="66">
        <f>SUM(E8:E21)</f>
        <v>260290</v>
      </c>
    </row>
    <row r="29">
      <c r="B29" s="67" t="s">
        <v>254</v>
      </c>
      <c r="C29" s="68"/>
      <c r="D29" s="68"/>
      <c r="E29" s="68"/>
      <c r="G29" s="67" t="s">
        <v>255</v>
      </c>
      <c r="H29" s="68"/>
      <c r="I29" s="68"/>
      <c r="J29" s="68"/>
      <c r="L29" s="13" t="s">
        <v>256</v>
      </c>
      <c r="O29" s="13" t="s">
        <v>257</v>
      </c>
    </row>
    <row r="30">
      <c r="B30" s="69" t="s">
        <v>4</v>
      </c>
      <c r="C30" s="70" t="s">
        <v>258</v>
      </c>
      <c r="D30" s="70" t="s">
        <v>259</v>
      </c>
      <c r="E30" s="70" t="s">
        <v>260</v>
      </c>
      <c r="G30" s="69" t="s">
        <v>29</v>
      </c>
      <c r="H30" s="70" t="s">
        <v>261</v>
      </c>
      <c r="I30" s="70"/>
      <c r="J30" s="70"/>
      <c r="L30" s="19">
        <v>7500.0</v>
      </c>
      <c r="M30" s="19" t="s">
        <v>262</v>
      </c>
      <c r="O30" s="13" t="s">
        <v>263</v>
      </c>
      <c r="P30" s="13" t="s">
        <v>264</v>
      </c>
      <c r="Q30" s="13" t="s">
        <v>29</v>
      </c>
      <c r="R30" s="13" t="s">
        <v>265</v>
      </c>
    </row>
    <row r="31">
      <c r="B31" s="19" t="s">
        <v>266</v>
      </c>
      <c r="C31" s="58">
        <v>100000.0</v>
      </c>
      <c r="D31" s="71">
        <v>1.0</v>
      </c>
      <c r="E31" s="63">
        <f t="shared" ref="E31:E37" si="2">D31*C31</f>
        <v>100000</v>
      </c>
      <c r="G31" s="19" t="s">
        <v>267</v>
      </c>
      <c r="H31" s="58">
        <v>8500.0</v>
      </c>
      <c r="I31" s="71"/>
      <c r="O31" s="58">
        <v>78.0</v>
      </c>
      <c r="P31" s="19" t="s">
        <v>200</v>
      </c>
      <c r="Q31" s="72" t="s">
        <v>268</v>
      </c>
      <c r="R31" s="19" t="s">
        <v>269</v>
      </c>
    </row>
    <row r="32">
      <c r="B32" s="19" t="s">
        <v>270</v>
      </c>
      <c r="C32" s="58">
        <v>73600.0</v>
      </c>
      <c r="D32" s="71">
        <v>0.0</v>
      </c>
      <c r="E32" s="63">
        <f t="shared" si="2"/>
        <v>0</v>
      </c>
      <c r="G32" s="19" t="s">
        <v>271</v>
      </c>
      <c r="H32" s="58">
        <f>2100*12</f>
        <v>25200</v>
      </c>
      <c r="I32" s="71"/>
      <c r="O32" s="58">
        <v>72.0</v>
      </c>
      <c r="P32" s="19" t="s">
        <v>200</v>
      </c>
      <c r="Q32" s="73">
        <v>45505.0</v>
      </c>
      <c r="R32" s="19" t="s">
        <v>269</v>
      </c>
    </row>
    <row r="33">
      <c r="B33" s="19" t="s">
        <v>272</v>
      </c>
      <c r="C33" s="58">
        <v>57000.0</v>
      </c>
      <c r="D33" s="71">
        <v>0.5</v>
      </c>
      <c r="E33" s="63">
        <f t="shared" si="2"/>
        <v>28500</v>
      </c>
      <c r="G33" s="19" t="s">
        <v>273</v>
      </c>
      <c r="H33" s="58">
        <v>8500.0</v>
      </c>
      <c r="I33" s="71"/>
      <c r="O33" s="58">
        <v>54.0</v>
      </c>
      <c r="P33" s="19" t="s">
        <v>200</v>
      </c>
      <c r="Q33" s="73">
        <v>45566.0</v>
      </c>
      <c r="R33" s="19" t="s">
        <v>269</v>
      </c>
    </row>
    <row r="34">
      <c r="B34" s="19" t="s">
        <v>274</v>
      </c>
      <c r="C34" s="58">
        <v>72000.0</v>
      </c>
      <c r="D34" s="71">
        <v>1.0</v>
      </c>
      <c r="E34" s="63">
        <f t="shared" si="2"/>
        <v>72000</v>
      </c>
      <c r="G34" s="19" t="s">
        <v>275</v>
      </c>
      <c r="H34" s="58">
        <v>8500.0</v>
      </c>
      <c r="I34" s="71"/>
      <c r="O34" s="58">
        <v>159.0</v>
      </c>
      <c r="P34" s="19" t="s">
        <v>65</v>
      </c>
      <c r="Q34" s="73">
        <v>45566.0</v>
      </c>
      <c r="R34" s="19" t="s">
        <v>269</v>
      </c>
      <c r="S34" s="19" t="s">
        <v>276</v>
      </c>
    </row>
    <row r="35">
      <c r="B35" s="19" t="s">
        <v>277</v>
      </c>
      <c r="C35" s="58">
        <v>16000.0</v>
      </c>
      <c r="D35" s="71">
        <v>0.0</v>
      </c>
      <c r="E35" s="63">
        <f t="shared" si="2"/>
        <v>0</v>
      </c>
      <c r="G35" s="19" t="s">
        <v>278</v>
      </c>
      <c r="H35" s="58">
        <v>3000.0</v>
      </c>
      <c r="I35" s="19" t="s">
        <v>279</v>
      </c>
      <c r="O35" s="58">
        <v>112.0</v>
      </c>
      <c r="P35" s="19" t="s">
        <v>200</v>
      </c>
      <c r="Q35" s="52">
        <v>45566.0</v>
      </c>
      <c r="R35" s="19" t="s">
        <v>269</v>
      </c>
    </row>
    <row r="36">
      <c r="B36" s="19" t="s">
        <v>280</v>
      </c>
      <c r="C36" s="58">
        <v>42000.0</v>
      </c>
      <c r="D36" s="71">
        <v>1.0</v>
      </c>
      <c r="E36" s="63">
        <f t="shared" si="2"/>
        <v>42000</v>
      </c>
      <c r="G36" s="19" t="s">
        <v>281</v>
      </c>
      <c r="H36" s="58">
        <v>7000.0</v>
      </c>
      <c r="I36" s="71"/>
      <c r="O36" s="58">
        <v>52.0</v>
      </c>
      <c r="P36" s="19" t="s">
        <v>200</v>
      </c>
      <c r="Q36" s="52">
        <v>45566.0</v>
      </c>
      <c r="R36" s="19" t="s">
        <v>269</v>
      </c>
    </row>
    <row r="37">
      <c r="B37" s="19" t="s">
        <v>282</v>
      </c>
      <c r="C37" s="58">
        <v>15000.0</v>
      </c>
      <c r="D37" s="71">
        <v>1.0</v>
      </c>
      <c r="E37" s="63">
        <f t="shared" si="2"/>
        <v>15000</v>
      </c>
      <c r="G37" s="19" t="s">
        <v>283</v>
      </c>
      <c r="H37" s="58">
        <v>8000.0</v>
      </c>
      <c r="I37" s="71"/>
    </row>
    <row r="38">
      <c r="B38" s="64" t="s">
        <v>27</v>
      </c>
      <c r="C38" s="74">
        <f>SUM(C31:C37)</f>
        <v>375600</v>
      </c>
      <c r="D38" s="65"/>
      <c r="E38" s="74">
        <f>SUM(E31:E37)</f>
        <v>257500</v>
      </c>
      <c r="P38" s="19" t="s">
        <v>284</v>
      </c>
    </row>
    <row r="39">
      <c r="B39" s="75" t="s">
        <v>285</v>
      </c>
      <c r="C39" s="76"/>
      <c r="D39" s="76"/>
      <c r="E39" s="77">
        <f>E22-E38</f>
        <v>2790</v>
      </c>
      <c r="P39" s="58">
        <v>60.0</v>
      </c>
      <c r="Q39" s="19" t="s">
        <v>268</v>
      </c>
    </row>
    <row r="40">
      <c r="P40" s="58">
        <v>60.0</v>
      </c>
      <c r="Q40" s="19" t="s">
        <v>268</v>
      </c>
    </row>
    <row r="41">
      <c r="B41" s="78" t="s">
        <v>286</v>
      </c>
      <c r="C41" s="78" t="s">
        <v>263</v>
      </c>
      <c r="D41" s="78" t="s">
        <v>287</v>
      </c>
      <c r="G41" s="13"/>
      <c r="J41" s="13"/>
    </row>
    <row r="42">
      <c r="B42" s="19" t="s">
        <v>288</v>
      </c>
      <c r="C42" s="58">
        <v>3000.0</v>
      </c>
      <c r="D42" s="19" t="s">
        <v>289</v>
      </c>
      <c r="J42" s="58"/>
    </row>
    <row r="43">
      <c r="B43" s="19" t="s">
        <v>290</v>
      </c>
      <c r="C43" s="58">
        <v>3500.0</v>
      </c>
      <c r="D43" s="19" t="s">
        <v>291</v>
      </c>
    </row>
    <row r="44">
      <c r="B44" s="19" t="s">
        <v>292</v>
      </c>
      <c r="C44" s="58">
        <v>300.0</v>
      </c>
      <c r="D44" s="19" t="s">
        <v>291</v>
      </c>
    </row>
    <row r="45">
      <c r="B45" s="19" t="s">
        <v>293</v>
      </c>
      <c r="C45" s="58">
        <v>100.0</v>
      </c>
      <c r="D45" s="19" t="s">
        <v>291</v>
      </c>
    </row>
    <row r="46">
      <c r="B46" s="19" t="s">
        <v>294</v>
      </c>
      <c r="C46" s="58">
        <v>125.0</v>
      </c>
      <c r="D46" s="19" t="s">
        <v>291</v>
      </c>
    </row>
    <row r="47">
      <c r="B47" s="19" t="s">
        <v>295</v>
      </c>
      <c r="C47" s="79">
        <v>24.81</v>
      </c>
      <c r="D47" s="19" t="s">
        <v>291</v>
      </c>
    </row>
    <row r="48">
      <c r="B48" s="19" t="s">
        <v>296</v>
      </c>
      <c r="C48" s="58">
        <v>8000.0</v>
      </c>
      <c r="D48" s="19" t="s">
        <v>289</v>
      </c>
    </row>
    <row r="49">
      <c r="B49" s="19" t="s">
        <v>297</v>
      </c>
      <c r="C49" s="58">
        <v>370.0</v>
      </c>
    </row>
    <row r="50">
      <c r="B50" s="19" t="s">
        <v>298</v>
      </c>
      <c r="C50" s="58">
        <v>285.0</v>
      </c>
    </row>
  </sheetData>
  <conditionalFormatting sqref="E39">
    <cfRule type="cellIs" dxfId="2" priority="1" operator="greaterThan">
      <formula>0</formula>
    </cfRule>
  </conditionalFormatting>
  <conditionalFormatting sqref="E39">
    <cfRule type="cellIs" dxfId="3" priority="2" operator="lessThanOr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6" max="6" width="15.13"/>
    <col customWidth="1" min="7" max="7" width="19.75"/>
    <col customWidth="1" min="8" max="8" width="13.25"/>
    <col customWidth="1" min="9" max="9" width="6.25"/>
    <col customWidth="1" min="10" max="14" width="13.25"/>
  </cols>
  <sheetData>
    <row r="1">
      <c r="A1" s="1" t="s">
        <v>78</v>
      </c>
      <c r="I1" s="1"/>
      <c r="J1" s="1"/>
      <c r="K1" s="1"/>
      <c r="L1" s="1"/>
      <c r="M1" s="1"/>
      <c r="N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  <c r="N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  <c r="N4" s="7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sumif($B$20:$C$123,A6,$C$20:$C$123)</f>
        <v>2693.71</v>
      </c>
      <c r="D6" s="17">
        <f t="shared" ref="D6:D15" si="2">B6-C6</f>
        <v>-30.03</v>
      </c>
      <c r="E6" s="18">
        <f t="shared" ref="E6:E16" si="3">D6/B6</f>
        <v>-0.01127387674</v>
      </c>
      <c r="G6" s="19" t="s">
        <v>11</v>
      </c>
      <c r="H6" s="14">
        <v>4950.0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14">
        <f>'MartinRachel Pay Stub'!L21</f>
        <v>5526</v>
      </c>
    </row>
    <row r="8">
      <c r="A8" s="21" t="s">
        <v>14</v>
      </c>
      <c r="B8" s="22">
        <v>250.0</v>
      </c>
      <c r="C8" s="22">
        <f t="shared" si="1"/>
        <v>0</v>
      </c>
      <c r="D8" s="23">
        <f t="shared" si="2"/>
        <v>250</v>
      </c>
      <c r="E8" s="18">
        <f t="shared" si="3"/>
        <v>1</v>
      </c>
      <c r="H8" s="14"/>
    </row>
    <row r="9">
      <c r="A9" s="24" t="s">
        <v>15</v>
      </c>
      <c r="B9" s="22">
        <v>400.0</v>
      </c>
      <c r="C9" s="22">
        <f t="shared" si="1"/>
        <v>627.85</v>
      </c>
      <c r="D9" s="23">
        <f t="shared" si="2"/>
        <v>-227.85</v>
      </c>
      <c r="E9" s="18">
        <f t="shared" si="3"/>
        <v>-0.569625</v>
      </c>
      <c r="G9" s="13" t="s">
        <v>16</v>
      </c>
      <c r="H9" s="14"/>
    </row>
    <row r="10">
      <c r="A10" s="24" t="s">
        <v>17</v>
      </c>
      <c r="B10" s="22">
        <v>400.0</v>
      </c>
      <c r="C10" s="22">
        <f t="shared" si="1"/>
        <v>556.37</v>
      </c>
      <c r="D10" s="23">
        <f t="shared" si="2"/>
        <v>-156.37</v>
      </c>
      <c r="E10" s="18">
        <f t="shared" si="3"/>
        <v>-0.390925</v>
      </c>
      <c r="G10" s="19" t="s">
        <v>18</v>
      </c>
      <c r="H10" s="14">
        <f>sum(C16)</f>
        <v>6435.75</v>
      </c>
    </row>
    <row r="11">
      <c r="A11" s="22" t="s">
        <v>19</v>
      </c>
      <c r="B11" s="22">
        <v>200.0</v>
      </c>
      <c r="C11" s="22">
        <f t="shared" si="1"/>
        <v>100</v>
      </c>
      <c r="D11" s="23">
        <f t="shared" si="2"/>
        <v>100</v>
      </c>
      <c r="E11" s="18">
        <f t="shared" si="3"/>
        <v>0.5</v>
      </c>
      <c r="H11" s="14"/>
    </row>
    <row r="12">
      <c r="A12" s="24" t="s">
        <v>20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G12" s="13" t="s">
        <v>21</v>
      </c>
      <c r="H12" s="14"/>
    </row>
    <row r="13">
      <c r="A13" s="25" t="s">
        <v>22</v>
      </c>
      <c r="B13" s="22">
        <v>200.0</v>
      </c>
      <c r="C13" s="22">
        <f t="shared" ref="C13:C15" si="4">sumif($B$20:$C$123,A13,$C$20:$C$123)</f>
        <v>298.27</v>
      </c>
      <c r="D13" s="23">
        <f t="shared" si="2"/>
        <v>-98.27</v>
      </c>
      <c r="E13" s="18">
        <f t="shared" si="3"/>
        <v>-0.49135</v>
      </c>
      <c r="G13" s="19" t="s">
        <v>23</v>
      </c>
      <c r="H13" s="14"/>
    </row>
    <row r="14">
      <c r="A14" s="26" t="s">
        <v>24</v>
      </c>
      <c r="B14" s="27">
        <v>0.0</v>
      </c>
      <c r="C14" s="22">
        <f t="shared" si="4"/>
        <v>137</v>
      </c>
      <c r="D14" s="23">
        <f t="shared" si="2"/>
        <v>-137</v>
      </c>
      <c r="E14" s="18" t="str">
        <f t="shared" si="3"/>
        <v>#DIV/0!</v>
      </c>
      <c r="H14" s="4"/>
      <c r="I14" s="6"/>
      <c r="J14" s="6"/>
      <c r="K14" s="6"/>
      <c r="L14" s="6"/>
      <c r="M14" s="6"/>
      <c r="N14" s="6"/>
    </row>
    <row r="15">
      <c r="A15" s="26" t="s">
        <v>25</v>
      </c>
      <c r="B15" s="27">
        <v>300.0</v>
      </c>
      <c r="C15" s="27">
        <f t="shared" si="4"/>
        <v>1522.55</v>
      </c>
      <c r="D15" s="28">
        <f t="shared" si="2"/>
        <v>-1222.55</v>
      </c>
      <c r="E15" s="18">
        <f t="shared" si="3"/>
        <v>-4.075166667</v>
      </c>
      <c r="G15" s="13" t="s">
        <v>26</v>
      </c>
      <c r="H15" s="47">
        <f>SUMIF($B$20:$C$145,"Travel",$C$20:$C$145)</f>
        <v>1066.1</v>
      </c>
      <c r="I15" s="6"/>
      <c r="J15" s="6"/>
      <c r="K15" s="6"/>
      <c r="L15" s="6"/>
      <c r="M15" s="6"/>
      <c r="N15" s="6"/>
    </row>
    <row r="16">
      <c r="A16" s="30" t="s">
        <v>27</v>
      </c>
      <c r="B16" s="31">
        <f t="shared" ref="B16:D16" si="5">SUM(B6:B15)</f>
        <v>4913.68</v>
      </c>
      <c r="C16" s="31">
        <f t="shared" si="5"/>
        <v>6435.75</v>
      </c>
      <c r="D16" s="31">
        <f t="shared" si="5"/>
        <v>-1522.07</v>
      </c>
      <c r="E16" s="18">
        <f t="shared" si="3"/>
        <v>-0.3097617264</v>
      </c>
      <c r="F16" s="32"/>
      <c r="G16" s="13" t="s">
        <v>28</v>
      </c>
      <c r="H16" s="33">
        <f>500-SUMIF($B$20:$C$145,"Travel",$C$20:$C$145)+'Sept 2023'!H16</f>
        <v>659.7</v>
      </c>
      <c r="I16" s="34"/>
      <c r="J16" s="34"/>
      <c r="K16" s="34"/>
      <c r="L16" s="34"/>
      <c r="M16" s="34"/>
      <c r="N16" s="34"/>
    </row>
    <row r="17">
      <c r="A17" s="35"/>
      <c r="B17" s="36"/>
      <c r="C17" s="36"/>
      <c r="D17" s="37"/>
      <c r="E17" s="37"/>
      <c r="F17" s="36"/>
      <c r="G17" s="35"/>
      <c r="H17" s="35"/>
      <c r="I17" s="35"/>
      <c r="J17" s="35"/>
      <c r="K17" s="35"/>
      <c r="L17" s="35"/>
      <c r="M17" s="35"/>
      <c r="N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  <c r="N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  <c r="N19" s="35"/>
    </row>
    <row r="20">
      <c r="A20" s="40" t="s">
        <v>32</v>
      </c>
      <c r="B20" s="40" t="s">
        <v>10</v>
      </c>
      <c r="C20" s="41">
        <v>2060.0</v>
      </c>
      <c r="D20" s="41" t="s">
        <v>33</v>
      </c>
      <c r="E20" s="41"/>
      <c r="G20" s="42"/>
      <c r="H20" s="42"/>
      <c r="I20" s="42"/>
      <c r="J20" s="42"/>
      <c r="K20" s="42"/>
      <c r="L20" s="42"/>
      <c r="M20" s="42"/>
      <c r="N20" s="42"/>
    </row>
    <row r="21">
      <c r="A21" s="40" t="s">
        <v>32</v>
      </c>
      <c r="B21" s="40" t="s">
        <v>10</v>
      </c>
      <c r="C21" s="41">
        <v>35.0</v>
      </c>
      <c r="D21" s="41" t="s">
        <v>34</v>
      </c>
      <c r="E21" s="41"/>
      <c r="G21" s="42"/>
      <c r="H21" s="42"/>
      <c r="I21" s="42"/>
      <c r="J21" s="42"/>
      <c r="K21" s="42"/>
      <c r="L21" s="42"/>
      <c r="M21" s="42"/>
      <c r="N21" s="42"/>
    </row>
    <row r="22">
      <c r="A22" s="40" t="s">
        <v>32</v>
      </c>
      <c r="B22" s="40" t="s">
        <v>10</v>
      </c>
      <c r="C22" s="41">
        <v>96.0</v>
      </c>
      <c r="D22" s="41" t="s">
        <v>35</v>
      </c>
      <c r="E22" s="41"/>
      <c r="G22" s="42"/>
      <c r="H22" s="42"/>
      <c r="I22" s="42"/>
      <c r="J22" s="42"/>
      <c r="K22" s="42"/>
      <c r="L22" s="42"/>
      <c r="M22" s="42"/>
      <c r="N22" s="42"/>
    </row>
    <row r="23">
      <c r="A23" s="40" t="s">
        <v>32</v>
      </c>
      <c r="B23" s="40" t="s">
        <v>10</v>
      </c>
      <c r="C23" s="41">
        <v>155.0</v>
      </c>
      <c r="D23" s="41" t="s">
        <v>36</v>
      </c>
      <c r="E23" s="41"/>
      <c r="G23" s="42"/>
      <c r="H23" s="42"/>
      <c r="I23" s="42"/>
      <c r="J23" s="42"/>
      <c r="K23" s="42"/>
      <c r="L23" s="42"/>
      <c r="M23" s="42"/>
      <c r="N23" s="42"/>
    </row>
    <row r="24">
      <c r="A24" s="40" t="s">
        <v>32</v>
      </c>
      <c r="B24" s="40" t="s">
        <v>10</v>
      </c>
      <c r="C24" s="41" t="s">
        <v>37</v>
      </c>
      <c r="D24" s="41" t="s">
        <v>38</v>
      </c>
      <c r="E24" s="41"/>
      <c r="G24" s="42"/>
      <c r="H24" s="42"/>
      <c r="I24" s="42"/>
      <c r="J24" s="42"/>
      <c r="K24" s="42"/>
      <c r="L24" s="42"/>
      <c r="M24" s="42"/>
      <c r="N24" s="42"/>
    </row>
    <row r="25">
      <c r="A25" s="40" t="s">
        <v>32</v>
      </c>
      <c r="B25" s="40" t="s">
        <v>10</v>
      </c>
      <c r="C25" s="41">
        <f>1133.34/6</f>
        <v>188.89</v>
      </c>
      <c r="D25" s="41" t="s">
        <v>23</v>
      </c>
      <c r="E25" s="41"/>
      <c r="G25" s="42"/>
      <c r="H25" s="42"/>
      <c r="I25" s="42"/>
      <c r="J25" s="42"/>
      <c r="K25" s="42"/>
      <c r="L25" s="42"/>
      <c r="M25" s="42"/>
      <c r="N25" s="42"/>
    </row>
    <row r="26">
      <c r="A26" s="40" t="s">
        <v>32</v>
      </c>
      <c r="B26" s="40" t="s">
        <v>10</v>
      </c>
      <c r="C26" s="41">
        <v>2.87</v>
      </c>
      <c r="D26" s="41" t="s">
        <v>39</v>
      </c>
      <c r="E26" s="41"/>
      <c r="G26" s="42"/>
      <c r="H26" s="42"/>
      <c r="I26" s="42"/>
      <c r="J26" s="42"/>
      <c r="K26" s="42"/>
      <c r="L26" s="42"/>
      <c r="M26" s="42"/>
      <c r="N26" s="42"/>
    </row>
    <row r="27">
      <c r="A27" s="40" t="s">
        <v>32</v>
      </c>
      <c r="B27" s="40" t="s">
        <v>10</v>
      </c>
      <c r="C27" s="41">
        <v>1.99</v>
      </c>
      <c r="D27" s="41" t="s">
        <v>40</v>
      </c>
      <c r="E27" s="41"/>
      <c r="G27" s="42"/>
      <c r="H27" s="42"/>
      <c r="I27" s="42"/>
      <c r="J27" s="42"/>
      <c r="K27" s="42"/>
      <c r="L27" s="42"/>
      <c r="M27" s="42"/>
      <c r="N27" s="42"/>
    </row>
    <row r="28">
      <c r="A28" s="40" t="s">
        <v>32</v>
      </c>
      <c r="B28" s="40" t="s">
        <v>10</v>
      </c>
      <c r="C28" s="41">
        <v>5.83</v>
      </c>
      <c r="D28" s="41" t="s">
        <v>41</v>
      </c>
      <c r="E28" s="41"/>
      <c r="G28" s="42"/>
      <c r="H28" s="42"/>
      <c r="I28" s="42"/>
      <c r="J28" s="42"/>
      <c r="K28" s="42"/>
      <c r="L28" s="42"/>
      <c r="M28" s="42"/>
      <c r="N28" s="42"/>
    </row>
    <row r="29">
      <c r="A29" s="40" t="s">
        <v>32</v>
      </c>
      <c r="B29" s="40" t="s">
        <v>10</v>
      </c>
      <c r="C29" s="41">
        <v>148.13</v>
      </c>
      <c r="D29" s="41" t="s">
        <v>42</v>
      </c>
      <c r="E29" s="41"/>
      <c r="G29" s="42"/>
      <c r="H29" s="42"/>
      <c r="I29" s="42"/>
      <c r="J29" s="42"/>
      <c r="K29" s="42"/>
      <c r="L29" s="42"/>
      <c r="M29" s="42"/>
      <c r="N29" s="42"/>
    </row>
    <row r="30">
      <c r="A30" s="43"/>
      <c r="B30" s="40"/>
      <c r="C30" s="41"/>
      <c r="D30" s="41"/>
      <c r="E30" s="41"/>
      <c r="G30" s="42"/>
      <c r="H30" s="42"/>
      <c r="I30" s="42"/>
      <c r="J30" s="42"/>
      <c r="K30" s="42"/>
      <c r="L30" s="42"/>
      <c r="M30" s="42"/>
      <c r="N30" s="42"/>
    </row>
    <row r="31">
      <c r="A31" s="43"/>
      <c r="B31" s="40"/>
      <c r="C31" s="41"/>
      <c r="D31" s="41"/>
      <c r="E31" s="41"/>
      <c r="G31" s="42"/>
      <c r="H31" s="42"/>
      <c r="I31" s="42"/>
      <c r="J31" s="42"/>
      <c r="K31" s="42"/>
      <c r="L31" s="42"/>
      <c r="M31" s="42"/>
      <c r="N31" s="42"/>
    </row>
    <row r="32">
      <c r="A32" s="44">
        <v>45218.0</v>
      </c>
      <c r="B32" s="40" t="s">
        <v>79</v>
      </c>
      <c r="C32" s="41">
        <v>108.0</v>
      </c>
      <c r="D32" s="41" t="s">
        <v>299</v>
      </c>
      <c r="E32" s="41"/>
      <c r="G32" s="42"/>
      <c r="H32" s="42"/>
      <c r="I32" s="42"/>
      <c r="J32" s="42"/>
      <c r="K32" s="42"/>
      <c r="L32" s="42"/>
      <c r="M32" s="42"/>
      <c r="N32" s="42"/>
    </row>
    <row r="33">
      <c r="A33" s="44">
        <v>45200.0</v>
      </c>
      <c r="B33" s="40" t="s">
        <v>22</v>
      </c>
      <c r="C33" s="41">
        <v>39.88</v>
      </c>
      <c r="D33" s="41" t="s">
        <v>47</v>
      </c>
      <c r="E33" s="41"/>
      <c r="G33" s="42"/>
      <c r="H33" s="42"/>
      <c r="I33" s="42"/>
      <c r="J33" s="42"/>
      <c r="K33" s="42"/>
      <c r="L33" s="42"/>
      <c r="M33" s="42"/>
      <c r="N33" s="42"/>
    </row>
    <row r="34">
      <c r="A34" s="44">
        <v>45200.0</v>
      </c>
      <c r="B34" s="40" t="s">
        <v>15</v>
      </c>
      <c r="C34" s="41">
        <v>152.0</v>
      </c>
      <c r="D34" s="41" t="s">
        <v>47</v>
      </c>
      <c r="E34" s="41"/>
      <c r="G34" s="42"/>
      <c r="H34" s="42"/>
      <c r="I34" s="42"/>
      <c r="J34" s="42"/>
      <c r="K34" s="42"/>
      <c r="L34" s="42"/>
      <c r="M34" s="42"/>
      <c r="N34" s="42"/>
    </row>
    <row r="35">
      <c r="A35" s="44">
        <v>45200.0</v>
      </c>
      <c r="B35" s="40" t="s">
        <v>19</v>
      </c>
      <c r="C35" s="41">
        <v>100.0</v>
      </c>
      <c r="D35" s="41" t="s">
        <v>300</v>
      </c>
      <c r="E35" s="41"/>
      <c r="G35" s="42"/>
      <c r="H35" s="42"/>
      <c r="I35" s="42"/>
      <c r="J35" s="42"/>
      <c r="K35" s="42"/>
      <c r="L35" s="42"/>
      <c r="M35" s="42"/>
      <c r="N35" s="42"/>
    </row>
    <row r="36">
      <c r="A36" s="44">
        <v>45205.0</v>
      </c>
      <c r="B36" s="40" t="s">
        <v>17</v>
      </c>
      <c r="C36" s="41">
        <v>70.0</v>
      </c>
      <c r="D36" s="41" t="s">
        <v>301</v>
      </c>
      <c r="E36" s="41"/>
      <c r="G36" s="42"/>
      <c r="H36" s="42"/>
      <c r="I36" s="42"/>
      <c r="J36" s="42"/>
      <c r="K36" s="42"/>
      <c r="L36" s="42"/>
      <c r="M36" s="42"/>
      <c r="N36" s="42"/>
    </row>
    <row r="37">
      <c r="A37" s="44">
        <v>45206.0</v>
      </c>
      <c r="B37" s="40" t="s">
        <v>25</v>
      </c>
      <c r="C37" s="41">
        <v>12.0</v>
      </c>
      <c r="D37" s="41" t="s">
        <v>302</v>
      </c>
      <c r="E37" s="41"/>
      <c r="G37" s="42"/>
      <c r="H37" s="42"/>
      <c r="I37" s="42"/>
      <c r="J37" s="42"/>
      <c r="K37" s="42"/>
      <c r="L37" s="42"/>
      <c r="M37" s="42"/>
      <c r="N37" s="42"/>
    </row>
    <row r="38">
      <c r="A38" s="44">
        <v>45206.0</v>
      </c>
      <c r="B38" s="40" t="s">
        <v>25</v>
      </c>
      <c r="C38" s="41">
        <f>80+52</f>
        <v>132</v>
      </c>
      <c r="D38" s="41" t="s">
        <v>303</v>
      </c>
      <c r="E38" s="41"/>
      <c r="G38" s="42"/>
      <c r="H38" s="42"/>
      <c r="I38" s="42"/>
      <c r="J38" s="42"/>
      <c r="K38" s="42"/>
      <c r="L38" s="42"/>
      <c r="M38" s="42"/>
      <c r="N38" s="42"/>
    </row>
    <row r="39">
      <c r="A39" s="48">
        <v>45206.0</v>
      </c>
      <c r="B39" s="40" t="s">
        <v>17</v>
      </c>
      <c r="C39" s="41">
        <v>30.0</v>
      </c>
      <c r="D39" s="41" t="s">
        <v>304</v>
      </c>
      <c r="E39" s="41"/>
      <c r="G39" s="42"/>
      <c r="H39" s="42"/>
      <c r="I39" s="42"/>
      <c r="J39" s="42"/>
      <c r="K39" s="42"/>
      <c r="L39" s="42"/>
      <c r="M39" s="42"/>
      <c r="N39" s="42"/>
    </row>
    <row r="40">
      <c r="A40" s="44">
        <v>45206.0</v>
      </c>
      <c r="B40" s="40" t="s">
        <v>17</v>
      </c>
      <c r="C40" s="41">
        <v>32.0</v>
      </c>
      <c r="D40" s="41" t="s">
        <v>305</v>
      </c>
      <c r="E40" s="41"/>
      <c r="G40" s="42"/>
      <c r="H40" s="42"/>
      <c r="I40" s="42"/>
      <c r="J40" s="42"/>
      <c r="K40" s="42"/>
      <c r="L40" s="42"/>
      <c r="M40" s="42"/>
      <c r="N40" s="42"/>
    </row>
    <row r="41">
      <c r="A41" s="44">
        <v>45206.0</v>
      </c>
      <c r="B41" s="40" t="s">
        <v>22</v>
      </c>
      <c r="C41" s="41">
        <v>52.0</v>
      </c>
      <c r="D41" s="41" t="s">
        <v>306</v>
      </c>
      <c r="E41" s="41"/>
      <c r="G41" s="42"/>
      <c r="H41" s="42"/>
      <c r="I41" s="42"/>
      <c r="J41" s="42"/>
      <c r="K41" s="42"/>
      <c r="L41" s="42"/>
      <c r="M41" s="42"/>
      <c r="N41" s="42"/>
    </row>
    <row r="42">
      <c r="A42" s="44">
        <v>45207.0</v>
      </c>
      <c r="B42" s="40" t="s">
        <v>22</v>
      </c>
      <c r="C42" s="41">
        <v>40.09</v>
      </c>
      <c r="D42" s="41" t="s">
        <v>307</v>
      </c>
      <c r="E42" s="41"/>
      <c r="G42" s="42"/>
      <c r="H42" s="42"/>
      <c r="I42" s="42"/>
      <c r="J42" s="42"/>
      <c r="K42" s="42"/>
      <c r="L42" s="42"/>
      <c r="M42" s="42"/>
      <c r="N42" s="42"/>
    </row>
    <row r="43">
      <c r="A43" s="44">
        <v>45207.0</v>
      </c>
      <c r="B43" s="40" t="s">
        <v>15</v>
      </c>
      <c r="C43" s="41">
        <v>173.88</v>
      </c>
      <c r="D43" s="41" t="s">
        <v>308</v>
      </c>
      <c r="E43" s="41"/>
      <c r="G43" s="42"/>
      <c r="H43" s="42"/>
      <c r="I43" s="42"/>
      <c r="J43" s="42"/>
      <c r="K43" s="42"/>
      <c r="L43" s="42"/>
      <c r="M43" s="42"/>
      <c r="N43" s="42"/>
    </row>
    <row r="44">
      <c r="A44" s="44">
        <v>45206.0</v>
      </c>
      <c r="B44" s="40" t="s">
        <v>25</v>
      </c>
      <c r="C44" s="41">
        <v>3.0</v>
      </c>
      <c r="D44" s="41" t="s">
        <v>309</v>
      </c>
      <c r="E44" s="41"/>
      <c r="G44" s="42"/>
      <c r="H44" s="42"/>
      <c r="I44" s="42"/>
      <c r="J44" s="42"/>
      <c r="K44" s="42"/>
      <c r="L44" s="42"/>
      <c r="M44" s="42"/>
      <c r="N44" s="42"/>
    </row>
    <row r="45">
      <c r="A45" s="44">
        <v>45207.0</v>
      </c>
      <c r="B45" s="40" t="s">
        <v>17</v>
      </c>
      <c r="C45" s="41">
        <v>14.7</v>
      </c>
      <c r="D45" s="41" t="s">
        <v>310</v>
      </c>
      <c r="E45" s="41"/>
      <c r="G45" s="42"/>
      <c r="H45" s="42"/>
      <c r="I45" s="42"/>
      <c r="J45" s="42"/>
      <c r="K45" s="42"/>
      <c r="L45" s="42"/>
      <c r="M45" s="42"/>
      <c r="N45" s="42"/>
    </row>
    <row r="46">
      <c r="A46" s="44">
        <v>45207.0</v>
      </c>
      <c r="B46" s="40" t="s">
        <v>17</v>
      </c>
      <c r="C46" s="41">
        <v>11.02</v>
      </c>
      <c r="D46" s="41" t="s">
        <v>311</v>
      </c>
      <c r="E46" s="41"/>
      <c r="G46" s="42"/>
      <c r="H46" s="42"/>
      <c r="I46" s="42"/>
      <c r="J46" s="42"/>
      <c r="K46" s="42"/>
      <c r="L46" s="42"/>
      <c r="M46" s="42"/>
      <c r="N46" s="42"/>
    </row>
    <row r="47">
      <c r="A47" s="44">
        <v>45207.0</v>
      </c>
      <c r="B47" s="40" t="s">
        <v>15</v>
      </c>
      <c r="C47" s="41">
        <v>15.0</v>
      </c>
      <c r="D47" s="41" t="s">
        <v>71</v>
      </c>
      <c r="E47" s="41"/>
      <c r="G47" s="42"/>
      <c r="H47" s="42"/>
      <c r="I47" s="42"/>
      <c r="J47" s="42"/>
      <c r="K47" s="42"/>
      <c r="L47" s="42"/>
      <c r="M47" s="42"/>
      <c r="N47" s="42"/>
    </row>
    <row r="48">
      <c r="A48" s="44">
        <v>45209.0</v>
      </c>
      <c r="B48" s="40" t="s">
        <v>25</v>
      </c>
      <c r="C48" s="41">
        <v>312.0</v>
      </c>
      <c r="D48" s="41" t="s">
        <v>312</v>
      </c>
      <c r="E48" s="41"/>
      <c r="G48" s="42"/>
      <c r="H48" s="42"/>
      <c r="I48" s="42"/>
      <c r="J48" s="42"/>
      <c r="K48" s="42"/>
      <c r="L48" s="42"/>
      <c r="M48" s="42"/>
      <c r="N48" s="42"/>
    </row>
    <row r="49">
      <c r="A49" s="44">
        <v>45210.0</v>
      </c>
      <c r="B49" s="40" t="s">
        <v>25</v>
      </c>
      <c r="C49" s="41">
        <v>60.0</v>
      </c>
      <c r="D49" s="41" t="s">
        <v>313</v>
      </c>
      <c r="E49" s="41"/>
      <c r="G49" s="42"/>
      <c r="H49" s="42"/>
      <c r="I49" s="42"/>
      <c r="J49" s="42"/>
      <c r="K49" s="42"/>
      <c r="L49" s="42"/>
      <c r="M49" s="42"/>
      <c r="N49" s="42"/>
    </row>
    <row r="50">
      <c r="A50" s="44">
        <v>45211.0</v>
      </c>
      <c r="B50" s="40" t="s">
        <v>25</v>
      </c>
      <c r="C50" s="41">
        <v>28.5</v>
      </c>
      <c r="D50" s="41" t="s">
        <v>314</v>
      </c>
      <c r="E50" s="41"/>
      <c r="G50" s="42"/>
      <c r="H50" s="42"/>
      <c r="I50" s="42"/>
      <c r="J50" s="42"/>
      <c r="K50" s="42"/>
      <c r="L50" s="42"/>
      <c r="M50" s="42"/>
      <c r="N50" s="42"/>
    </row>
    <row r="51">
      <c r="A51" s="44">
        <v>45212.0</v>
      </c>
      <c r="B51" s="40" t="s">
        <v>79</v>
      </c>
      <c r="C51" s="41">
        <v>28.5</v>
      </c>
      <c r="D51" s="41" t="s">
        <v>314</v>
      </c>
      <c r="E51" s="41"/>
      <c r="G51" s="42"/>
      <c r="H51" s="42"/>
      <c r="I51" s="42"/>
      <c r="J51" s="42"/>
      <c r="K51" s="42"/>
      <c r="L51" s="42"/>
      <c r="M51" s="42"/>
      <c r="N51" s="42"/>
    </row>
    <row r="52">
      <c r="A52" s="44">
        <v>45212.0</v>
      </c>
      <c r="B52" s="40" t="s">
        <v>24</v>
      </c>
      <c r="C52" s="41">
        <v>4.0</v>
      </c>
      <c r="D52" s="41" t="s">
        <v>315</v>
      </c>
      <c r="E52" s="41"/>
      <c r="G52" s="42"/>
      <c r="H52" s="42"/>
      <c r="I52" s="42"/>
      <c r="J52" s="42"/>
      <c r="K52" s="42"/>
      <c r="L52" s="42"/>
      <c r="M52" s="42"/>
      <c r="N52" s="42"/>
    </row>
    <row r="53">
      <c r="A53" s="44">
        <v>45212.0</v>
      </c>
      <c r="B53" s="40" t="s">
        <v>24</v>
      </c>
      <c r="C53" s="41">
        <v>25.0</v>
      </c>
      <c r="D53" s="41" t="s">
        <v>316</v>
      </c>
      <c r="E53" s="41"/>
      <c r="G53" s="42"/>
      <c r="H53" s="42"/>
      <c r="I53" s="42"/>
      <c r="J53" s="42"/>
      <c r="K53" s="42"/>
      <c r="L53" s="42"/>
      <c r="M53" s="42"/>
      <c r="N53" s="42"/>
    </row>
    <row r="54">
      <c r="A54" s="44">
        <v>45212.0</v>
      </c>
      <c r="B54" s="40" t="s">
        <v>17</v>
      </c>
      <c r="C54" s="41">
        <v>18.71</v>
      </c>
      <c r="D54" s="41" t="s">
        <v>77</v>
      </c>
      <c r="E54" s="41"/>
      <c r="G54" s="42"/>
      <c r="H54" s="42"/>
      <c r="I54" s="42"/>
      <c r="J54" s="42"/>
      <c r="K54" s="42"/>
      <c r="L54" s="42"/>
      <c r="M54" s="42"/>
      <c r="N54" s="42"/>
    </row>
    <row r="55">
      <c r="A55" s="44">
        <v>45223.0</v>
      </c>
      <c r="B55" s="40" t="s">
        <v>17</v>
      </c>
      <c r="C55" s="41">
        <v>18.38</v>
      </c>
      <c r="D55" s="41" t="s">
        <v>317</v>
      </c>
      <c r="E55" s="41"/>
      <c r="G55" s="42"/>
      <c r="H55" s="42"/>
      <c r="I55" s="42"/>
      <c r="J55" s="42"/>
      <c r="K55" s="42"/>
      <c r="L55" s="42"/>
      <c r="M55" s="42"/>
      <c r="N55" s="42"/>
    </row>
    <row r="56">
      <c r="A56" s="44">
        <v>45213.0</v>
      </c>
      <c r="B56" s="40" t="s">
        <v>15</v>
      </c>
      <c r="C56" s="41">
        <v>12.0</v>
      </c>
      <c r="D56" s="41" t="s">
        <v>318</v>
      </c>
      <c r="E56" s="41"/>
      <c r="G56" s="42"/>
      <c r="H56" s="42"/>
      <c r="I56" s="42"/>
      <c r="J56" s="42"/>
      <c r="K56" s="42"/>
      <c r="L56" s="42"/>
      <c r="M56" s="42"/>
      <c r="N56" s="42"/>
    </row>
    <row r="57">
      <c r="A57" s="44">
        <v>45213.0</v>
      </c>
      <c r="B57" s="40" t="s">
        <v>17</v>
      </c>
      <c r="C57" s="41">
        <v>24.61</v>
      </c>
      <c r="D57" s="41" t="s">
        <v>319</v>
      </c>
      <c r="E57" s="41"/>
      <c r="G57" s="42"/>
      <c r="H57" s="42"/>
      <c r="I57" s="42"/>
      <c r="J57" s="42"/>
      <c r="K57" s="42"/>
      <c r="L57" s="42"/>
      <c r="M57" s="42"/>
      <c r="N57" s="42"/>
    </row>
    <row r="58">
      <c r="A58" s="44">
        <v>45213.0</v>
      </c>
      <c r="B58" s="40" t="s">
        <v>25</v>
      </c>
      <c r="C58" s="41">
        <v>34.37</v>
      </c>
      <c r="D58" s="41" t="s">
        <v>320</v>
      </c>
      <c r="E58" s="41"/>
      <c r="G58" s="42"/>
      <c r="H58" s="42"/>
      <c r="I58" s="42"/>
      <c r="J58" s="42"/>
      <c r="K58" s="42"/>
      <c r="L58" s="42"/>
      <c r="M58" s="42"/>
      <c r="N58" s="42"/>
    </row>
    <row r="59">
      <c r="A59" s="44">
        <v>45212.0</v>
      </c>
      <c r="B59" s="40" t="s">
        <v>17</v>
      </c>
      <c r="C59" s="41">
        <v>7.93</v>
      </c>
      <c r="D59" s="41" t="s">
        <v>321</v>
      </c>
      <c r="E59" s="41"/>
      <c r="G59" s="42"/>
      <c r="H59" s="42"/>
      <c r="I59" s="42"/>
      <c r="J59" s="42"/>
      <c r="K59" s="42"/>
      <c r="L59" s="42"/>
      <c r="M59" s="42"/>
      <c r="N59" s="42"/>
    </row>
    <row r="60">
      <c r="A60" s="44">
        <v>45218.0</v>
      </c>
      <c r="B60" s="40" t="s">
        <v>17</v>
      </c>
      <c r="C60" s="41">
        <v>9.41</v>
      </c>
      <c r="D60" s="41" t="s">
        <v>322</v>
      </c>
      <c r="E60" s="41"/>
      <c r="G60" s="42"/>
      <c r="H60" s="42"/>
      <c r="I60" s="42"/>
      <c r="J60" s="42"/>
      <c r="K60" s="42"/>
      <c r="L60" s="42"/>
      <c r="M60" s="42"/>
      <c r="N60" s="42"/>
    </row>
    <row r="61">
      <c r="A61" s="44">
        <v>45225.0</v>
      </c>
      <c r="B61" s="40" t="s">
        <v>79</v>
      </c>
      <c r="C61" s="41">
        <v>929.6</v>
      </c>
      <c r="D61" s="41" t="s">
        <v>323</v>
      </c>
      <c r="E61" s="41"/>
      <c r="G61" s="42"/>
      <c r="H61" s="42"/>
      <c r="I61" s="42"/>
      <c r="J61" s="42"/>
      <c r="K61" s="42"/>
      <c r="L61" s="42"/>
      <c r="M61" s="42"/>
      <c r="N61" s="42"/>
    </row>
    <row r="62">
      <c r="A62" s="44">
        <v>45217.0</v>
      </c>
      <c r="B62" s="40" t="s">
        <v>25</v>
      </c>
      <c r="C62" s="41">
        <v>6.0</v>
      </c>
      <c r="D62" s="41" t="s">
        <v>324</v>
      </c>
      <c r="E62" s="41"/>
      <c r="G62" s="42"/>
      <c r="H62" s="42"/>
      <c r="I62" s="42"/>
      <c r="J62" s="42"/>
      <c r="K62" s="42"/>
      <c r="L62" s="42"/>
      <c r="M62" s="42"/>
      <c r="N62" s="42"/>
    </row>
    <row r="63">
      <c r="A63" s="44">
        <v>45226.0</v>
      </c>
      <c r="B63" s="40" t="s">
        <v>17</v>
      </c>
      <c r="C63" s="41">
        <v>11.35</v>
      </c>
      <c r="D63" s="41" t="s">
        <v>325</v>
      </c>
      <c r="E63" s="41"/>
      <c r="G63" s="42"/>
      <c r="H63" s="42"/>
      <c r="I63" s="42"/>
      <c r="J63" s="42"/>
      <c r="K63" s="42"/>
      <c r="L63" s="42"/>
      <c r="M63" s="42"/>
      <c r="N63" s="42"/>
    </row>
    <row r="64">
      <c r="A64" s="44">
        <v>45221.0</v>
      </c>
      <c r="B64" s="40" t="s">
        <v>25</v>
      </c>
      <c r="C64" s="41" t="s">
        <v>326</v>
      </c>
      <c r="D64" s="41" t="s">
        <v>327</v>
      </c>
      <c r="E64" s="41"/>
      <c r="G64" s="42"/>
      <c r="H64" s="42"/>
      <c r="I64" s="42"/>
      <c r="J64" s="42"/>
      <c r="K64" s="42"/>
      <c r="L64" s="42"/>
      <c r="M64" s="42"/>
      <c r="N64" s="42"/>
    </row>
    <row r="65">
      <c r="A65" s="44">
        <v>45221.0</v>
      </c>
      <c r="B65" s="40" t="s">
        <v>22</v>
      </c>
      <c r="C65" s="41">
        <v>42.65</v>
      </c>
      <c r="D65" s="41" t="s">
        <v>328</v>
      </c>
      <c r="E65" s="41"/>
      <c r="G65" s="42"/>
      <c r="H65" s="42"/>
      <c r="I65" s="42"/>
      <c r="J65" s="42"/>
      <c r="K65" s="42"/>
      <c r="L65" s="42"/>
      <c r="M65" s="42"/>
      <c r="N65" s="42"/>
    </row>
    <row r="66">
      <c r="A66" s="44">
        <v>45220.0</v>
      </c>
      <c r="B66" s="40" t="s">
        <v>17</v>
      </c>
      <c r="C66" s="41">
        <v>11.38</v>
      </c>
      <c r="D66" s="80">
        <v>45118.0</v>
      </c>
      <c r="E66" s="41"/>
      <c r="G66" s="42"/>
      <c r="H66" s="42"/>
      <c r="I66" s="42"/>
      <c r="J66" s="42"/>
      <c r="K66" s="42"/>
      <c r="L66" s="42"/>
      <c r="M66" s="42"/>
      <c r="N66" s="42"/>
    </row>
    <row r="67">
      <c r="A67" s="44">
        <v>45220.0</v>
      </c>
      <c r="B67" s="40" t="s">
        <v>17</v>
      </c>
      <c r="C67" s="41">
        <v>49.0</v>
      </c>
      <c r="D67" s="41" t="s">
        <v>329</v>
      </c>
      <c r="E67" s="41"/>
      <c r="G67" s="42"/>
      <c r="H67" s="42"/>
      <c r="I67" s="42"/>
      <c r="J67" s="42"/>
      <c r="K67" s="42"/>
      <c r="L67" s="42"/>
      <c r="M67" s="42"/>
      <c r="N67" s="42"/>
    </row>
    <row r="68">
      <c r="A68" s="44">
        <v>45220.0</v>
      </c>
      <c r="B68" s="40" t="s">
        <v>17</v>
      </c>
      <c r="C68" s="41">
        <v>20.02</v>
      </c>
      <c r="D68" s="41" t="s">
        <v>330</v>
      </c>
      <c r="E68" s="41"/>
      <c r="G68" s="42"/>
      <c r="H68" s="42"/>
      <c r="I68" s="42"/>
      <c r="J68" s="42"/>
      <c r="K68" s="42"/>
      <c r="L68" s="42"/>
      <c r="M68" s="42"/>
      <c r="N68" s="42"/>
    </row>
    <row r="69">
      <c r="A69" s="44">
        <v>45226.0</v>
      </c>
      <c r="B69" s="40" t="s">
        <v>15</v>
      </c>
      <c r="C69" s="41">
        <v>58.22</v>
      </c>
      <c r="D69" s="41" t="s">
        <v>47</v>
      </c>
      <c r="E69" s="41"/>
      <c r="G69" s="42"/>
      <c r="H69" s="42"/>
      <c r="I69" s="42"/>
      <c r="J69" s="42"/>
      <c r="K69" s="42"/>
      <c r="L69" s="42"/>
      <c r="M69" s="42"/>
      <c r="N69" s="42"/>
    </row>
    <row r="70">
      <c r="A70" s="44">
        <v>45218.0</v>
      </c>
      <c r="B70" s="40" t="s">
        <v>22</v>
      </c>
      <c r="C70" s="41">
        <v>46.68</v>
      </c>
      <c r="D70" s="41" t="s">
        <v>331</v>
      </c>
      <c r="E70" s="41"/>
      <c r="G70" s="42"/>
      <c r="H70" s="42"/>
      <c r="I70" s="42"/>
      <c r="J70" s="42"/>
      <c r="K70" s="42"/>
      <c r="L70" s="42"/>
      <c r="M70" s="42"/>
      <c r="N70" s="42"/>
    </row>
    <row r="71">
      <c r="A71" s="44">
        <v>45218.0</v>
      </c>
      <c r="B71" s="40" t="s">
        <v>15</v>
      </c>
      <c r="C71" s="41">
        <v>10.49</v>
      </c>
      <c r="D71" s="41" t="s">
        <v>57</v>
      </c>
      <c r="E71" s="41"/>
      <c r="G71" s="42"/>
      <c r="H71" s="42"/>
      <c r="I71" s="42"/>
      <c r="J71" s="42"/>
      <c r="K71" s="42"/>
      <c r="L71" s="42"/>
      <c r="M71" s="42"/>
      <c r="N71" s="42"/>
    </row>
    <row r="72">
      <c r="A72" s="44">
        <v>45202.0</v>
      </c>
      <c r="B72" s="40" t="s">
        <v>17</v>
      </c>
      <c r="C72" s="41">
        <v>9.41</v>
      </c>
      <c r="D72" s="41" t="s">
        <v>332</v>
      </c>
      <c r="E72" s="41"/>
      <c r="G72" s="42"/>
      <c r="H72" s="42"/>
      <c r="I72" s="42"/>
      <c r="J72" s="42"/>
      <c r="K72" s="42"/>
      <c r="L72" s="42"/>
      <c r="M72" s="42"/>
      <c r="N72" s="42"/>
    </row>
    <row r="73">
      <c r="A73" s="44">
        <v>45205.0</v>
      </c>
      <c r="B73" s="40" t="s">
        <v>24</v>
      </c>
      <c r="C73" s="41">
        <v>108.0</v>
      </c>
      <c r="D73" s="41" t="s">
        <v>333</v>
      </c>
      <c r="E73" s="41"/>
      <c r="G73" s="42"/>
      <c r="H73" s="42"/>
      <c r="I73" s="42"/>
      <c r="J73" s="42"/>
      <c r="K73" s="42"/>
      <c r="L73" s="42"/>
      <c r="M73" s="42"/>
      <c r="N73" s="42"/>
    </row>
    <row r="74">
      <c r="A74" s="44">
        <v>45210.0</v>
      </c>
      <c r="B74" s="40" t="s">
        <v>17</v>
      </c>
      <c r="C74" s="41">
        <v>15.42</v>
      </c>
      <c r="D74" s="41" t="s">
        <v>334</v>
      </c>
      <c r="E74" s="41"/>
      <c r="G74" s="42"/>
      <c r="H74" s="42"/>
      <c r="I74" s="42"/>
      <c r="J74" s="42"/>
      <c r="K74" s="42"/>
      <c r="L74" s="42"/>
      <c r="M74" s="42"/>
      <c r="N74" s="42"/>
    </row>
    <row r="75">
      <c r="A75" s="44">
        <v>45226.0</v>
      </c>
      <c r="B75" s="40" t="s">
        <v>25</v>
      </c>
      <c r="C75" s="41">
        <f>551+138</f>
        <v>689</v>
      </c>
      <c r="D75" s="41" t="s">
        <v>335</v>
      </c>
      <c r="E75" s="41"/>
      <c r="G75" s="42"/>
      <c r="H75" s="42"/>
      <c r="I75" s="42"/>
      <c r="J75" s="42"/>
      <c r="K75" s="42"/>
      <c r="L75" s="42"/>
      <c r="M75" s="42"/>
      <c r="N75" s="42"/>
    </row>
    <row r="76">
      <c r="A76" s="44">
        <v>45220.0</v>
      </c>
      <c r="B76" s="40" t="s">
        <v>17</v>
      </c>
      <c r="C76" s="41">
        <v>70.0</v>
      </c>
      <c r="D76" s="41" t="s">
        <v>336</v>
      </c>
      <c r="E76" s="41"/>
      <c r="G76" s="42"/>
      <c r="H76" s="42"/>
      <c r="I76" s="42"/>
      <c r="J76" s="42"/>
      <c r="K76" s="42"/>
      <c r="L76" s="42"/>
      <c r="M76" s="42"/>
      <c r="N76" s="42"/>
    </row>
    <row r="77">
      <c r="A77" s="44">
        <v>45221.0</v>
      </c>
      <c r="B77" s="40" t="s">
        <v>17</v>
      </c>
      <c r="C77" s="41">
        <v>70.0</v>
      </c>
      <c r="D77" s="41" t="s">
        <v>337</v>
      </c>
      <c r="E77" s="41"/>
      <c r="G77" s="42"/>
      <c r="H77" s="42"/>
      <c r="I77" s="42"/>
      <c r="J77" s="42"/>
      <c r="K77" s="42"/>
      <c r="L77" s="42"/>
      <c r="M77" s="42"/>
      <c r="N77" s="42"/>
    </row>
    <row r="78">
      <c r="A78" s="44">
        <v>45227.0</v>
      </c>
      <c r="B78" s="40" t="s">
        <v>75</v>
      </c>
      <c r="C78" s="41">
        <v>2.0</v>
      </c>
      <c r="D78" s="41" t="s">
        <v>338</v>
      </c>
      <c r="E78" s="41"/>
      <c r="G78" s="42"/>
      <c r="H78" s="42"/>
      <c r="I78" s="42"/>
      <c r="J78" s="42"/>
      <c r="K78" s="42"/>
      <c r="L78" s="42"/>
      <c r="M78" s="42"/>
      <c r="N78" s="42"/>
    </row>
    <row r="79">
      <c r="A79" s="44">
        <v>45227.0</v>
      </c>
      <c r="B79" s="40" t="s">
        <v>17</v>
      </c>
      <c r="C79" s="41">
        <v>61.03</v>
      </c>
      <c r="D79" s="41" t="s">
        <v>339</v>
      </c>
      <c r="E79" s="41"/>
      <c r="G79" s="42"/>
      <c r="H79" s="42"/>
      <c r="I79" s="42"/>
      <c r="J79" s="42"/>
      <c r="K79" s="42"/>
      <c r="L79" s="42"/>
      <c r="M79" s="42"/>
      <c r="N79" s="42"/>
    </row>
    <row r="80">
      <c r="A80" s="44">
        <v>45227.0</v>
      </c>
      <c r="B80" s="40" t="s">
        <v>25</v>
      </c>
      <c r="C80" s="41">
        <v>220.47</v>
      </c>
      <c r="D80" s="41" t="s">
        <v>340</v>
      </c>
      <c r="E80" s="41"/>
      <c r="G80" s="42"/>
      <c r="H80" s="42"/>
      <c r="I80" s="42"/>
      <c r="J80" s="42"/>
      <c r="K80" s="42"/>
      <c r="L80" s="42"/>
      <c r="M80" s="42"/>
      <c r="N80" s="42"/>
    </row>
    <row r="81">
      <c r="A81" s="44">
        <v>45227.0</v>
      </c>
      <c r="B81" s="40" t="s">
        <v>25</v>
      </c>
      <c r="C81" s="41">
        <v>6.99</v>
      </c>
      <c r="D81" s="41" t="s">
        <v>341</v>
      </c>
      <c r="E81" s="41"/>
      <c r="G81" s="42"/>
      <c r="H81" s="42"/>
      <c r="I81" s="42"/>
      <c r="J81" s="42"/>
      <c r="K81" s="42"/>
      <c r="L81" s="42"/>
      <c r="M81" s="42"/>
      <c r="N81" s="42"/>
    </row>
    <row r="82">
      <c r="A82" s="44">
        <v>45227.0</v>
      </c>
      <c r="B82" s="40" t="s">
        <v>25</v>
      </c>
      <c r="C82" s="41">
        <v>2.04</v>
      </c>
      <c r="D82" s="41" t="s">
        <v>342</v>
      </c>
      <c r="E82" s="41"/>
      <c r="G82" s="42"/>
      <c r="H82" s="42"/>
      <c r="I82" s="42"/>
      <c r="J82" s="42"/>
      <c r="K82" s="42"/>
      <c r="L82" s="42"/>
      <c r="M82" s="42"/>
      <c r="N82" s="42"/>
    </row>
    <row r="83">
      <c r="A83" s="44">
        <v>45228.0</v>
      </c>
      <c r="B83" s="40" t="s">
        <v>15</v>
      </c>
      <c r="C83" s="41">
        <v>64.62</v>
      </c>
      <c r="D83" s="41" t="s">
        <v>343</v>
      </c>
      <c r="E83" s="41"/>
      <c r="G83" s="42"/>
      <c r="H83" s="42"/>
      <c r="I83" s="42"/>
      <c r="J83" s="42"/>
      <c r="K83" s="42"/>
      <c r="L83" s="42"/>
      <c r="M83" s="42"/>
      <c r="N83" s="42"/>
    </row>
    <row r="84">
      <c r="A84" s="44">
        <v>45228.0</v>
      </c>
      <c r="B84" s="40" t="s">
        <v>15</v>
      </c>
      <c r="C84" s="41">
        <v>141.64</v>
      </c>
      <c r="D84" s="41" t="s">
        <v>47</v>
      </c>
      <c r="E84" s="41"/>
      <c r="G84" s="42"/>
      <c r="H84" s="42"/>
      <c r="I84" s="42"/>
      <c r="J84" s="42"/>
      <c r="K84" s="42"/>
      <c r="L84" s="42"/>
      <c r="M84" s="42"/>
      <c r="N84" s="42"/>
    </row>
    <row r="85">
      <c r="A85" s="44">
        <v>45228.0</v>
      </c>
      <c r="B85" s="40" t="s">
        <v>22</v>
      </c>
      <c r="C85" s="41">
        <v>34.51</v>
      </c>
      <c r="D85" s="41" t="s">
        <v>331</v>
      </c>
      <c r="E85" s="41"/>
      <c r="G85" s="42"/>
      <c r="H85" s="42"/>
      <c r="I85" s="42"/>
      <c r="J85" s="42"/>
      <c r="K85" s="42"/>
      <c r="L85" s="42"/>
      <c r="M85" s="42"/>
      <c r="N85" s="42"/>
    </row>
    <row r="86">
      <c r="A86" s="44">
        <v>45229.0</v>
      </c>
      <c r="B86" s="40" t="s">
        <v>22</v>
      </c>
      <c r="C86" s="41">
        <v>42.46</v>
      </c>
      <c r="D86" s="41" t="s">
        <v>344</v>
      </c>
      <c r="E86" s="41"/>
      <c r="G86" s="42"/>
      <c r="H86" s="42"/>
      <c r="I86" s="42"/>
      <c r="J86" s="42"/>
      <c r="K86" s="42"/>
      <c r="L86" s="42"/>
      <c r="M86" s="42"/>
      <c r="N86" s="42"/>
    </row>
    <row r="87">
      <c r="A87" s="40" t="s">
        <v>345</v>
      </c>
      <c r="B87" s="40" t="s">
        <v>25</v>
      </c>
      <c r="C87" s="41">
        <v>16.18</v>
      </c>
      <c r="D87" s="41" t="s">
        <v>346</v>
      </c>
      <c r="E87" s="41"/>
      <c r="G87" s="42"/>
      <c r="H87" s="42"/>
      <c r="I87" s="42"/>
      <c r="J87" s="42"/>
      <c r="K87" s="42"/>
      <c r="L87" s="42"/>
      <c r="M87" s="42"/>
      <c r="N87" s="42"/>
    </row>
    <row r="88">
      <c r="A88" s="44"/>
      <c r="B88" s="40"/>
      <c r="C88" s="41"/>
      <c r="D88" s="41"/>
      <c r="E88" s="41"/>
      <c r="G88" s="42"/>
      <c r="H88" s="42"/>
      <c r="I88" s="42"/>
      <c r="J88" s="42"/>
      <c r="K88" s="42"/>
      <c r="L88" s="42"/>
      <c r="M88" s="42"/>
      <c r="N88" s="42"/>
    </row>
    <row r="89">
      <c r="A89" s="44"/>
      <c r="B89" s="40"/>
      <c r="C89" s="41"/>
      <c r="D89" s="41"/>
      <c r="E89" s="41"/>
      <c r="G89" s="42"/>
      <c r="H89" s="42"/>
      <c r="I89" s="42"/>
      <c r="J89" s="42"/>
      <c r="K89" s="42"/>
      <c r="L89" s="42"/>
      <c r="M89" s="42"/>
      <c r="N89" s="42"/>
    </row>
    <row r="90">
      <c r="A90" s="44"/>
      <c r="B90" s="40"/>
      <c r="C90" s="41"/>
      <c r="D90" s="41"/>
      <c r="E90" s="41"/>
      <c r="G90" s="42"/>
      <c r="H90" s="42"/>
      <c r="I90" s="42"/>
      <c r="J90" s="42"/>
      <c r="K90" s="42"/>
      <c r="L90" s="42"/>
      <c r="M90" s="42"/>
      <c r="N90" s="42"/>
    </row>
    <row r="91">
      <c r="A91" s="44"/>
      <c r="B91" s="40"/>
      <c r="C91" s="41"/>
      <c r="D91" s="41"/>
      <c r="E91" s="41"/>
      <c r="G91" s="42"/>
      <c r="H91" s="42"/>
      <c r="I91" s="42"/>
      <c r="J91" s="42"/>
      <c r="K91" s="42"/>
      <c r="L91" s="42"/>
      <c r="M91" s="42"/>
      <c r="N91" s="42"/>
    </row>
    <row r="92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  <c r="N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  <c r="N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  <c r="N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  <c r="N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  <c r="N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  <c r="N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  <c r="N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  <c r="N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  <c r="N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  <c r="N101" s="42"/>
    </row>
    <row r="102">
      <c r="A102" s="44"/>
      <c r="B102" s="40"/>
      <c r="C102" s="41"/>
      <c r="D102" s="41"/>
      <c r="E102" s="41"/>
      <c r="G102" s="81" t="s">
        <v>347</v>
      </c>
      <c r="H102" s="81" t="s">
        <v>348</v>
      </c>
      <c r="I102" s="81" t="s">
        <v>349</v>
      </c>
      <c r="J102" s="81" t="s">
        <v>350</v>
      </c>
      <c r="K102" s="81" t="s">
        <v>351</v>
      </c>
      <c r="L102" s="81"/>
      <c r="M102" s="81"/>
      <c r="N102" s="81"/>
    </row>
    <row r="103">
      <c r="A103" s="44"/>
      <c r="B103" s="40"/>
      <c r="C103" s="41"/>
      <c r="D103" s="41"/>
      <c r="E103" s="41"/>
      <c r="G103" s="82">
        <v>21.674</v>
      </c>
      <c r="H103" s="83">
        <f>20*1.0837</f>
        <v>21.674</v>
      </c>
      <c r="I103" s="83">
        <f>19*1.0837</f>
        <v>20.5903</v>
      </c>
      <c r="J103" s="83">
        <f>20*1.0837</f>
        <v>21.674</v>
      </c>
      <c r="K103" s="81"/>
      <c r="L103" s="81" t="s">
        <v>352</v>
      </c>
      <c r="M103" s="84">
        <v>85.62</v>
      </c>
      <c r="N103" s="81"/>
    </row>
    <row r="104">
      <c r="A104" s="44"/>
      <c r="B104" s="40"/>
      <c r="C104" s="41"/>
      <c r="D104" s="41"/>
      <c r="E104" s="41"/>
      <c r="G104" s="83">
        <f>73.81/5</f>
        <v>14.762</v>
      </c>
      <c r="H104" s="83">
        <f t="shared" ref="H104:K104" si="6">G104</f>
        <v>14.762</v>
      </c>
      <c r="I104" s="83">
        <f t="shared" si="6"/>
        <v>14.762</v>
      </c>
      <c r="J104" s="83">
        <f t="shared" si="6"/>
        <v>14.762</v>
      </c>
      <c r="K104" s="83">
        <f t="shared" si="6"/>
        <v>14.762</v>
      </c>
      <c r="L104" s="81" t="s">
        <v>15</v>
      </c>
      <c r="M104" s="83">
        <f>K104*5</f>
        <v>73.81</v>
      </c>
      <c r="N104" s="81"/>
    </row>
    <row r="105">
      <c r="A105" s="44"/>
      <c r="B105" s="40"/>
      <c r="C105" s="41"/>
      <c r="D105" s="41"/>
      <c r="E105" s="41"/>
      <c r="G105" s="85">
        <v>14.51</v>
      </c>
      <c r="H105" s="83">
        <f t="shared" ref="H105:H107" si="7">M105/5</f>
        <v>14.51</v>
      </c>
      <c r="I105" s="81"/>
      <c r="J105" s="83">
        <f t="shared" ref="J105:J109" si="8">H105</f>
        <v>14.51</v>
      </c>
      <c r="K105" s="83">
        <f t="shared" ref="K105:K111" si="9">H105</f>
        <v>14.51</v>
      </c>
      <c r="L105" s="81" t="s">
        <v>353</v>
      </c>
      <c r="M105" s="83">
        <v>72.55</v>
      </c>
      <c r="N105" s="81"/>
    </row>
    <row r="106">
      <c r="A106" s="44"/>
      <c r="B106" s="40"/>
      <c r="C106" s="41"/>
      <c r="D106" s="41"/>
      <c r="E106" s="41"/>
      <c r="G106" s="85">
        <v>104.1</v>
      </c>
      <c r="H106" s="83">
        <f t="shared" si="7"/>
        <v>104.108</v>
      </c>
      <c r="I106" s="81"/>
      <c r="J106" s="83">
        <f t="shared" si="8"/>
        <v>104.108</v>
      </c>
      <c r="K106" s="83">
        <f t="shared" si="9"/>
        <v>104.108</v>
      </c>
      <c r="L106" s="81" t="s">
        <v>354</v>
      </c>
      <c r="M106" s="83">
        <v>520.54</v>
      </c>
      <c r="N106" s="81"/>
    </row>
    <row r="107">
      <c r="A107" s="44"/>
      <c r="B107" s="40"/>
      <c r="C107" s="41"/>
      <c r="D107" s="41"/>
      <c r="E107" s="41"/>
      <c r="G107" s="85">
        <v>40.61</v>
      </c>
      <c r="H107" s="83">
        <f t="shared" si="7"/>
        <v>40.61</v>
      </c>
      <c r="I107" s="81"/>
      <c r="J107" s="83">
        <f t="shared" si="8"/>
        <v>40.61</v>
      </c>
      <c r="K107" s="83">
        <f t="shared" si="9"/>
        <v>40.61</v>
      </c>
      <c r="L107" s="81" t="s">
        <v>355</v>
      </c>
      <c r="M107" s="83">
        <v>203.05</v>
      </c>
      <c r="N107" s="81"/>
    </row>
    <row r="108">
      <c r="A108" s="44"/>
      <c r="B108" s="40"/>
      <c r="C108" s="41"/>
      <c r="D108" s="41"/>
      <c r="E108" s="41"/>
      <c r="G108" s="83">
        <f>H108-280</f>
        <v>138.7275</v>
      </c>
      <c r="H108" s="83">
        <f>M108/8</f>
        <v>418.7275</v>
      </c>
      <c r="I108" s="81"/>
      <c r="J108" s="83">
        <f t="shared" si="8"/>
        <v>418.7275</v>
      </c>
      <c r="K108" s="83">
        <f t="shared" si="9"/>
        <v>418.7275</v>
      </c>
      <c r="L108" s="81" t="s">
        <v>356</v>
      </c>
      <c r="M108" s="83">
        <f>1674.91*2</f>
        <v>3349.82</v>
      </c>
      <c r="N108" s="81"/>
    </row>
    <row r="109">
      <c r="A109" s="44"/>
      <c r="B109" s="40"/>
      <c r="C109" s="41"/>
      <c r="D109" s="41"/>
      <c r="E109" s="41"/>
      <c r="G109" s="85">
        <v>204.0</v>
      </c>
      <c r="H109" s="83">
        <f>M109/5</f>
        <v>204.4</v>
      </c>
      <c r="I109" s="81"/>
      <c r="J109" s="83">
        <f t="shared" si="8"/>
        <v>204.4</v>
      </c>
      <c r="K109" s="83">
        <f t="shared" si="9"/>
        <v>204.4</v>
      </c>
      <c r="L109" s="81" t="s">
        <v>357</v>
      </c>
      <c r="M109" s="83">
        <v>1022.0</v>
      </c>
      <c r="N109" s="81"/>
    </row>
    <row r="110">
      <c r="A110" s="44"/>
      <c r="B110" s="40"/>
      <c r="C110" s="41"/>
      <c r="D110" s="41"/>
      <c r="E110" s="41"/>
      <c r="G110" s="85">
        <v>13.0</v>
      </c>
      <c r="H110" s="83">
        <f>M110/4</f>
        <v>13.25</v>
      </c>
      <c r="I110" s="81"/>
      <c r="J110" s="86">
        <v>-10.0</v>
      </c>
      <c r="K110" s="83">
        <f t="shared" si="9"/>
        <v>13.25</v>
      </c>
      <c r="L110" s="81" t="s">
        <v>358</v>
      </c>
      <c r="M110" s="83">
        <v>53.0</v>
      </c>
      <c r="N110" s="81"/>
    </row>
    <row r="111">
      <c r="A111" s="44"/>
      <c r="B111" s="40"/>
      <c r="C111" s="41"/>
      <c r="D111" s="41"/>
      <c r="E111" s="41"/>
      <c r="G111" s="85">
        <v>63.55</v>
      </c>
      <c r="H111" s="83">
        <v>63.55</v>
      </c>
      <c r="I111" s="81"/>
      <c r="J111" s="84">
        <v>63.55</v>
      </c>
      <c r="K111" s="83">
        <f t="shared" si="9"/>
        <v>63.55</v>
      </c>
      <c r="L111" s="81" t="s">
        <v>359</v>
      </c>
      <c r="M111" s="83">
        <v>317.75</v>
      </c>
      <c r="N111" s="81"/>
    </row>
    <row r="112">
      <c r="A112" s="44"/>
      <c r="B112" s="40"/>
      <c r="C112" s="41"/>
      <c r="D112" s="41"/>
      <c r="E112" s="41"/>
      <c r="G112" s="85">
        <v>75.0</v>
      </c>
      <c r="H112" s="83">
        <f>SUM(H103:H111)</f>
        <v>895.5915</v>
      </c>
      <c r="I112" s="81"/>
      <c r="J112" s="83">
        <f>SUM(J103:J111)</f>
        <v>872.3415</v>
      </c>
      <c r="K112" s="83">
        <f>Sum(K104:K111)</f>
        <v>873.9175</v>
      </c>
      <c r="L112" s="81"/>
      <c r="M112" s="81"/>
      <c r="N112" s="81"/>
    </row>
    <row r="113">
      <c r="A113" s="44"/>
      <c r="B113" s="40"/>
      <c r="C113" s="41"/>
      <c r="D113" s="41"/>
      <c r="E113" s="41"/>
      <c r="G113" s="81"/>
      <c r="H113" s="81"/>
      <c r="I113" s="81"/>
      <c r="J113" s="81"/>
      <c r="K113" s="81"/>
      <c r="L113" s="81"/>
      <c r="M113" s="81"/>
      <c r="N113" s="81"/>
    </row>
    <row r="114">
      <c r="A114" s="44"/>
      <c r="B114" s="40"/>
      <c r="C114" s="41"/>
      <c r="D114" s="41"/>
      <c r="E114" s="41"/>
      <c r="G114" s="42"/>
      <c r="H114" s="42"/>
      <c r="I114" s="42"/>
      <c r="J114" s="42"/>
      <c r="K114" s="42"/>
      <c r="L114" s="42"/>
      <c r="M114" s="42"/>
      <c r="N114" s="42"/>
    </row>
    <row r="115">
      <c r="A115" s="44"/>
      <c r="B115" s="40"/>
      <c r="C115" s="41"/>
      <c r="D115" s="41"/>
      <c r="E115" s="41"/>
      <c r="G115" s="42"/>
      <c r="H115" s="42"/>
      <c r="I115" s="42"/>
      <c r="J115" s="42"/>
      <c r="K115" s="42"/>
      <c r="L115" s="42"/>
      <c r="M115" s="42"/>
      <c r="N115" s="42"/>
    </row>
    <row r="116">
      <c r="A116" s="44"/>
      <c r="B116" s="40"/>
      <c r="C116" s="41"/>
      <c r="D116" s="41"/>
      <c r="E116" s="41"/>
      <c r="G116" s="42"/>
      <c r="H116" s="42"/>
      <c r="I116" s="42"/>
      <c r="J116" s="42"/>
      <c r="K116" s="42"/>
      <c r="L116" s="42"/>
      <c r="M116" s="42"/>
      <c r="N116" s="42"/>
    </row>
    <row r="117">
      <c r="A117" s="44"/>
      <c r="B117" s="40"/>
      <c r="C117" s="41"/>
      <c r="D117" s="41"/>
      <c r="E117" s="41"/>
      <c r="G117" s="42"/>
      <c r="H117" s="42"/>
      <c r="I117" s="42"/>
      <c r="J117" s="42"/>
      <c r="K117" s="42"/>
      <c r="L117" s="42"/>
      <c r="M117" s="42"/>
      <c r="N117" s="42"/>
    </row>
    <row r="118">
      <c r="A118" s="44"/>
      <c r="B118" s="40"/>
      <c r="C118" s="41"/>
      <c r="D118" s="41"/>
      <c r="E118" s="41"/>
      <c r="G118" s="42"/>
      <c r="H118" s="42"/>
      <c r="I118" s="42"/>
      <c r="J118" s="42"/>
      <c r="K118" s="42"/>
      <c r="L118" s="42"/>
      <c r="M118" s="42"/>
      <c r="N118" s="42"/>
    </row>
    <row r="119">
      <c r="A119" s="44"/>
      <c r="B119" s="40"/>
      <c r="C119" s="41"/>
      <c r="D119" s="41"/>
      <c r="E119" s="41"/>
      <c r="G119" s="42"/>
      <c r="H119" s="42"/>
      <c r="I119" s="42"/>
      <c r="J119" s="42"/>
      <c r="K119" s="42"/>
      <c r="L119" s="42"/>
      <c r="M119" s="42"/>
      <c r="N119" s="42"/>
    </row>
    <row r="120">
      <c r="A120" s="44"/>
      <c r="B120" s="40"/>
      <c r="C120" s="41"/>
      <c r="D120" s="41"/>
      <c r="E120" s="41"/>
      <c r="G120" s="42"/>
      <c r="H120" s="42"/>
      <c r="I120" s="42"/>
      <c r="J120" s="42"/>
      <c r="K120" s="42"/>
      <c r="L120" s="42"/>
      <c r="M120" s="42"/>
      <c r="N120" s="42"/>
    </row>
    <row r="121">
      <c r="A121" s="44"/>
      <c r="B121" s="40"/>
      <c r="C121" s="41"/>
      <c r="D121" s="41"/>
      <c r="E121" s="41"/>
      <c r="G121" s="42"/>
      <c r="H121" s="42"/>
      <c r="I121" s="42"/>
      <c r="J121" s="42"/>
      <c r="K121" s="42"/>
      <c r="L121" s="42"/>
      <c r="M121" s="42"/>
      <c r="N121" s="42"/>
    </row>
    <row r="122">
      <c r="A122" s="44"/>
      <c r="B122" s="40"/>
      <c r="C122" s="41"/>
      <c r="D122" s="41"/>
      <c r="E122" s="41"/>
      <c r="G122" s="42"/>
      <c r="H122" s="42"/>
      <c r="I122" s="42"/>
      <c r="J122" s="42"/>
      <c r="K122" s="42"/>
      <c r="L122" s="42"/>
      <c r="M122" s="42"/>
      <c r="N122" s="42"/>
    </row>
    <row r="123">
      <c r="A123" s="44"/>
      <c r="B123" s="40"/>
      <c r="C123" s="41"/>
      <c r="D123" s="41"/>
      <c r="E123" s="41"/>
      <c r="G123" s="42"/>
      <c r="H123" s="42"/>
      <c r="I123" s="42"/>
      <c r="J123" s="42"/>
      <c r="K123" s="42"/>
      <c r="L123" s="42"/>
      <c r="M123" s="42"/>
      <c r="N123" s="42"/>
    </row>
  </sheetData>
  <autoFilter ref="$A$31:$D$91"/>
  <mergeCells count="4">
    <mergeCell ref="A1:H2"/>
    <mergeCell ref="A4:D4"/>
    <mergeCell ref="G4:H4"/>
    <mergeCell ref="J4:M4"/>
  </mergeCells>
  <conditionalFormatting sqref="D6:E16">
    <cfRule type="cellIs" dxfId="0" priority="1" operator="greaterThan">
      <formula>0</formula>
    </cfRule>
  </conditionalFormatting>
  <conditionalFormatting sqref="D6:D15 E6:E16">
    <cfRule type="cellIs" dxfId="1" priority="2" operator="lessThan">
      <formula>0</formula>
    </cfRule>
  </conditionalFormatting>
  <dataValidations>
    <dataValidation type="list" allowBlank="1" sqref="B20:B123">
      <formula1>'Hidden list and Figures'!$A$3:$A$15</formula1>
    </dataValidation>
    <dataValidation type="custom" allowBlank="1" showDropDown="1" showInputMessage="1" prompt="Select a date" sqref="A32:A123">
      <formula1>OR(NOT(ISERROR(DATEVALUE(A32))), AND(ISNUMBER(A32), LEFT(CELL("format", A32))="D"))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sumif($B$20:$C$148,A6,$C$20:$C$148)</f>
        <v>2710.12</v>
      </c>
      <c r="D6" s="17">
        <f t="shared" ref="D6:D15" si="2">B6-C6</f>
        <v>-46.44</v>
      </c>
      <c r="E6" s="18">
        <f t="shared" ref="E6:E16" si="3">D6/B6</f>
        <v>-0.01743452667</v>
      </c>
      <c r="G6" s="19" t="s">
        <v>11</v>
      </c>
      <c r="H6" s="14">
        <f>2716+2463+5018</f>
        <v>10197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14">
        <v>5307.0</v>
      </c>
    </row>
    <row r="8">
      <c r="A8" s="21" t="s">
        <v>14</v>
      </c>
      <c r="B8" s="22">
        <v>250.0</v>
      </c>
      <c r="C8" s="22">
        <f t="shared" si="1"/>
        <v>0</v>
      </c>
      <c r="D8" s="23">
        <f t="shared" si="2"/>
        <v>250</v>
      </c>
      <c r="E8" s="18">
        <f t="shared" si="3"/>
        <v>1</v>
      </c>
      <c r="H8" s="14"/>
    </row>
    <row r="9">
      <c r="A9" s="24" t="s">
        <v>15</v>
      </c>
      <c r="B9" s="22">
        <v>400.0</v>
      </c>
      <c r="C9" s="22">
        <f t="shared" si="1"/>
        <v>265.24</v>
      </c>
      <c r="D9" s="23">
        <f t="shared" si="2"/>
        <v>134.76</v>
      </c>
      <c r="E9" s="18">
        <f t="shared" si="3"/>
        <v>0.3369</v>
      </c>
      <c r="G9" s="13" t="s">
        <v>16</v>
      </c>
      <c r="H9" s="14"/>
    </row>
    <row r="10">
      <c r="A10" s="24" t="s">
        <v>17</v>
      </c>
      <c r="B10" s="22">
        <v>400.0</v>
      </c>
      <c r="C10" s="22">
        <f t="shared" si="1"/>
        <v>2642.64</v>
      </c>
      <c r="D10" s="23">
        <f t="shared" si="2"/>
        <v>-2242.64</v>
      </c>
      <c r="E10" s="18">
        <f t="shared" si="3"/>
        <v>-5.6066</v>
      </c>
      <c r="G10" s="19" t="s">
        <v>18</v>
      </c>
      <c r="H10" s="14">
        <f>sum(C16)</f>
        <v>10830.42</v>
      </c>
    </row>
    <row r="11">
      <c r="A11" s="22" t="s">
        <v>19</v>
      </c>
      <c r="B11" s="22">
        <v>200.0</v>
      </c>
      <c r="C11" s="22">
        <f t="shared" si="1"/>
        <v>902.51</v>
      </c>
      <c r="D11" s="23">
        <f t="shared" si="2"/>
        <v>-702.51</v>
      </c>
      <c r="E11" s="18">
        <f t="shared" si="3"/>
        <v>-3.51255</v>
      </c>
      <c r="H11" s="14"/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G12" s="13" t="s">
        <v>21</v>
      </c>
      <c r="H12" s="14"/>
    </row>
    <row r="13">
      <c r="A13" s="25" t="s">
        <v>22</v>
      </c>
      <c r="B13" s="22">
        <v>200.0</v>
      </c>
      <c r="C13" s="22">
        <f t="shared" ref="C13:C15" si="4">sumif($B$20:$C$148,A13,$C$20:$C$148)</f>
        <v>79.78</v>
      </c>
      <c r="D13" s="23">
        <f t="shared" si="2"/>
        <v>120.22</v>
      </c>
      <c r="E13" s="18">
        <f t="shared" si="3"/>
        <v>0.6011</v>
      </c>
      <c r="G13" s="19" t="s">
        <v>23</v>
      </c>
      <c r="H13" s="14"/>
    </row>
    <row r="14">
      <c r="A14" s="26" t="s">
        <v>24</v>
      </c>
      <c r="B14" s="27">
        <v>0.0</v>
      </c>
      <c r="C14" s="22">
        <f t="shared" si="4"/>
        <v>61</v>
      </c>
      <c r="D14" s="23">
        <f t="shared" si="2"/>
        <v>-61</v>
      </c>
      <c r="E14" s="18" t="str">
        <f t="shared" si="3"/>
        <v>#DIV/0!</v>
      </c>
      <c r="H14" s="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3669.13</v>
      </c>
      <c r="D15" s="28">
        <f t="shared" si="2"/>
        <v>-3369.13</v>
      </c>
      <c r="E15" s="18">
        <f t="shared" si="3"/>
        <v>-11.23043333</v>
      </c>
      <c r="G15" s="13" t="s">
        <v>26</v>
      </c>
      <c r="H15" s="47">
        <f>SUMIF($B$20:$C$170,"Travel",$C$20:$C$170)</f>
        <v>1774.04</v>
      </c>
      <c r="I15" s="6"/>
      <c r="J15" s="6"/>
      <c r="K15" s="6"/>
      <c r="L15" s="6"/>
      <c r="M15" s="6"/>
    </row>
    <row r="16">
      <c r="A16" s="30" t="s">
        <v>27</v>
      </c>
      <c r="B16" s="31">
        <f t="shared" ref="B16:D16" si="5">SUM(B6:B15)</f>
        <v>4913.68</v>
      </c>
      <c r="C16" s="31">
        <f t="shared" si="5"/>
        <v>10830.42</v>
      </c>
      <c r="D16" s="31">
        <f t="shared" si="5"/>
        <v>-5916.74</v>
      </c>
      <c r="E16" s="18">
        <f t="shared" si="3"/>
        <v>-1.204136207</v>
      </c>
      <c r="F16" s="32"/>
      <c r="G16" s="13" t="s">
        <v>28</v>
      </c>
      <c r="H16" s="33">
        <f>500-SUMIF($B$20:$C$170,"Travel",$C$20:$C$170)+'Oct 2023'!H16</f>
        <v>-614.34</v>
      </c>
      <c r="I16" s="34"/>
      <c r="J16" s="34"/>
      <c r="K16" s="34"/>
      <c r="L16" s="34"/>
      <c r="M16" s="34"/>
    </row>
    <row r="17">
      <c r="A17" s="35"/>
      <c r="B17" s="36"/>
      <c r="C17" s="36"/>
      <c r="D17" s="37"/>
      <c r="E17" s="37"/>
      <c r="F17" s="36"/>
      <c r="G17" s="35"/>
      <c r="H17" s="35"/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2060.0</v>
      </c>
      <c r="D20" s="41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55.0</v>
      </c>
      <c r="D21" s="41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81.55</v>
      </c>
      <c r="D22" s="41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156.0</v>
      </c>
      <c r="D23" s="41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9.86</v>
      </c>
      <c r="D24" s="41" t="s">
        <v>38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1133.34/6</f>
        <v>188.89</v>
      </c>
      <c r="D25" s="41" t="s">
        <v>23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2.87</v>
      </c>
      <c r="D26" s="41" t="s">
        <v>39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1.99</v>
      </c>
      <c r="D27" s="41" t="s">
        <v>40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5.83</v>
      </c>
      <c r="D28" s="41" t="s">
        <v>41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148.13</v>
      </c>
      <c r="D29" s="41" t="s">
        <v>42</v>
      </c>
      <c r="E29" s="41"/>
      <c r="G29" s="42"/>
      <c r="H29" s="42"/>
      <c r="I29" s="42"/>
      <c r="J29" s="42"/>
      <c r="K29" s="42"/>
      <c r="L29" s="42"/>
      <c r="M29" s="42"/>
    </row>
    <row r="30">
      <c r="A30" s="43"/>
      <c r="B30" s="40"/>
      <c r="C30" s="41"/>
      <c r="D30" s="41"/>
      <c r="E30" s="41"/>
      <c r="G30" s="42"/>
      <c r="H30" s="42"/>
      <c r="I30" s="42"/>
      <c r="J30" s="42"/>
      <c r="K30" s="42"/>
      <c r="L30" s="42"/>
      <c r="M30" s="42"/>
    </row>
    <row r="31">
      <c r="A31" s="43"/>
      <c r="B31" s="40"/>
      <c r="C31" s="41"/>
      <c r="D31" s="41"/>
      <c r="E31" s="41"/>
      <c r="G31" s="42"/>
      <c r="H31" s="42"/>
      <c r="I31" s="42"/>
      <c r="J31" s="42"/>
      <c r="K31" s="42"/>
      <c r="L31" s="42"/>
      <c r="M31" s="42"/>
    </row>
    <row r="32">
      <c r="A32" s="44">
        <v>45232.0</v>
      </c>
      <c r="B32" s="40" t="s">
        <v>79</v>
      </c>
      <c r="C32" s="41">
        <f>8.9*2+53.78+123.78+191.61</f>
        <v>386.97</v>
      </c>
      <c r="D32" s="41" t="s">
        <v>360</v>
      </c>
      <c r="E32" s="41"/>
      <c r="G32" s="42"/>
      <c r="H32" s="42"/>
      <c r="I32" s="42"/>
      <c r="J32" s="42"/>
      <c r="K32" s="42"/>
      <c r="L32" s="42"/>
      <c r="M32" s="42"/>
    </row>
    <row r="33">
      <c r="A33" s="44">
        <v>45241.0</v>
      </c>
      <c r="B33" s="40" t="s">
        <v>25</v>
      </c>
      <c r="C33" s="41">
        <v>89.0</v>
      </c>
      <c r="D33" s="41" t="s">
        <v>361</v>
      </c>
      <c r="E33" s="41"/>
      <c r="G33" s="42"/>
      <c r="H33" s="42"/>
      <c r="I33" s="42"/>
      <c r="J33" s="42"/>
      <c r="K33" s="42"/>
      <c r="L33" s="42"/>
      <c r="M33" s="42"/>
    </row>
    <row r="34">
      <c r="A34" s="44">
        <v>45247.0</v>
      </c>
      <c r="B34" s="40" t="s">
        <v>79</v>
      </c>
      <c r="C34" s="41">
        <f>542.5*2</f>
        <v>1085</v>
      </c>
      <c r="D34" s="41" t="s">
        <v>362</v>
      </c>
      <c r="E34" s="41"/>
      <c r="G34" s="42"/>
      <c r="H34" s="42"/>
      <c r="I34" s="42"/>
      <c r="J34" s="42"/>
      <c r="K34" s="42"/>
      <c r="L34" s="42"/>
      <c r="M34" s="42"/>
    </row>
    <row r="35">
      <c r="A35" s="44">
        <v>45236.0</v>
      </c>
      <c r="B35" s="40" t="s">
        <v>17</v>
      </c>
      <c r="C35" s="41">
        <v>20.42</v>
      </c>
      <c r="D35" s="41" t="s">
        <v>363</v>
      </c>
      <c r="E35" s="41"/>
      <c r="G35" s="42"/>
      <c r="H35" s="42"/>
      <c r="I35" s="42"/>
      <c r="J35" s="42"/>
      <c r="K35" s="42"/>
      <c r="L35" s="42"/>
      <c r="M35" s="42"/>
    </row>
    <row r="36">
      <c r="A36" s="44">
        <v>45239.0</v>
      </c>
      <c r="B36" s="40" t="s">
        <v>75</v>
      </c>
      <c r="C36" s="41">
        <v>9.73</v>
      </c>
      <c r="D36" s="41" t="s">
        <v>364</v>
      </c>
      <c r="E36" s="41"/>
      <c r="G36" s="42"/>
      <c r="H36" s="42"/>
      <c r="I36" s="42"/>
      <c r="J36" s="42"/>
      <c r="K36" s="42"/>
      <c r="L36" s="42"/>
      <c r="M36" s="42"/>
    </row>
    <row r="37">
      <c r="A37" s="44">
        <v>45247.0</v>
      </c>
      <c r="B37" s="40" t="s">
        <v>22</v>
      </c>
      <c r="C37" s="41">
        <v>11.68</v>
      </c>
      <c r="D37" s="41" t="s">
        <v>46</v>
      </c>
      <c r="E37" s="41"/>
      <c r="G37" s="42"/>
      <c r="H37" s="42"/>
      <c r="I37" s="42"/>
      <c r="J37" s="42"/>
      <c r="K37" s="42"/>
      <c r="L37" s="42"/>
      <c r="M37" s="42"/>
    </row>
    <row r="38">
      <c r="A38" s="44">
        <v>45233.0</v>
      </c>
      <c r="B38" s="40" t="s">
        <v>75</v>
      </c>
      <c r="C38" s="41">
        <v>23.38</v>
      </c>
      <c r="D38" s="41" t="s">
        <v>365</v>
      </c>
      <c r="E38" s="41"/>
      <c r="G38" s="42"/>
      <c r="H38" s="42"/>
      <c r="I38" s="42"/>
      <c r="J38" s="42"/>
      <c r="K38" s="42"/>
      <c r="L38" s="42"/>
      <c r="M38" s="42"/>
    </row>
    <row r="39">
      <c r="A39" s="48">
        <v>45235.0</v>
      </c>
      <c r="B39" s="40" t="s">
        <v>25</v>
      </c>
      <c r="C39" s="41">
        <v>1.5</v>
      </c>
      <c r="D39" s="41" t="s">
        <v>366</v>
      </c>
      <c r="E39" s="41"/>
      <c r="G39" s="42"/>
      <c r="H39" s="42"/>
      <c r="I39" s="42"/>
      <c r="J39" s="42"/>
      <c r="K39" s="42"/>
      <c r="L39" s="42"/>
      <c r="M39" s="42"/>
    </row>
    <row r="40">
      <c r="A40" s="44">
        <v>45235.0</v>
      </c>
      <c r="B40" s="40" t="s">
        <v>17</v>
      </c>
      <c r="C40" s="41">
        <v>32.0</v>
      </c>
      <c r="D40" s="41" t="s">
        <v>367</v>
      </c>
      <c r="E40" s="41"/>
      <c r="G40" s="42"/>
      <c r="H40" s="42"/>
      <c r="I40" s="42"/>
      <c r="J40" s="42"/>
      <c r="K40" s="42"/>
      <c r="L40" s="42"/>
      <c r="M40" s="42"/>
    </row>
    <row r="41">
      <c r="A41" s="44">
        <v>45250.0</v>
      </c>
      <c r="B41" s="40" t="s">
        <v>15</v>
      </c>
      <c r="C41" s="41">
        <v>10.87</v>
      </c>
      <c r="D41" s="41" t="s">
        <v>368</v>
      </c>
      <c r="E41" s="41"/>
      <c r="G41" s="42"/>
      <c r="H41" s="42"/>
      <c r="I41" s="42"/>
      <c r="J41" s="42"/>
      <c r="K41" s="42"/>
      <c r="L41" s="42"/>
      <c r="M41" s="42"/>
    </row>
    <row r="42">
      <c r="A42" s="44">
        <v>45251.0</v>
      </c>
      <c r="B42" s="40" t="s">
        <v>17</v>
      </c>
      <c r="C42" s="41">
        <v>60.44</v>
      </c>
      <c r="D42" s="41" t="s">
        <v>369</v>
      </c>
      <c r="E42" s="41"/>
      <c r="G42" s="42"/>
      <c r="H42" s="42"/>
      <c r="I42" s="42"/>
      <c r="J42" s="42"/>
      <c r="K42" s="42"/>
      <c r="L42" s="42"/>
      <c r="M42" s="42"/>
    </row>
    <row r="43">
      <c r="A43" s="44">
        <v>45252.0</v>
      </c>
      <c r="B43" s="40" t="s">
        <v>25</v>
      </c>
      <c r="C43" s="41">
        <v>54.54</v>
      </c>
      <c r="D43" s="41" t="s">
        <v>370</v>
      </c>
      <c r="E43" s="41"/>
      <c r="G43" s="42"/>
      <c r="H43" s="42"/>
      <c r="I43" s="42"/>
      <c r="J43" s="42"/>
      <c r="K43" s="42"/>
      <c r="L43" s="42"/>
      <c r="M43" s="42"/>
    </row>
    <row r="44">
      <c r="A44" s="44">
        <v>45253.0</v>
      </c>
      <c r="B44" s="40" t="s">
        <v>25</v>
      </c>
      <c r="C44" s="41">
        <v>160.0</v>
      </c>
      <c r="D44" s="41" t="s">
        <v>371</v>
      </c>
      <c r="E44" s="41"/>
      <c r="G44" s="42"/>
      <c r="H44" s="42"/>
      <c r="I44" s="42"/>
      <c r="J44" s="42"/>
      <c r="K44" s="42"/>
      <c r="L44" s="42"/>
      <c r="M44" s="42"/>
    </row>
    <row r="45">
      <c r="A45" s="44">
        <v>45254.0</v>
      </c>
      <c r="B45" s="40" t="s">
        <v>15</v>
      </c>
      <c r="C45" s="41">
        <v>34.98</v>
      </c>
      <c r="D45" s="41" t="s">
        <v>372</v>
      </c>
      <c r="E45" s="41"/>
      <c r="G45" s="42"/>
      <c r="H45" s="42"/>
      <c r="I45" s="42"/>
      <c r="J45" s="42"/>
      <c r="K45" s="42"/>
      <c r="L45" s="42"/>
      <c r="M45" s="42"/>
    </row>
    <row r="46">
      <c r="A46" s="44">
        <v>45255.0</v>
      </c>
      <c r="B46" s="40" t="s">
        <v>17</v>
      </c>
      <c r="C46" s="41">
        <v>45.08</v>
      </c>
      <c r="D46" s="41" t="s">
        <v>373</v>
      </c>
      <c r="E46" s="41"/>
      <c r="G46" s="42"/>
      <c r="H46" s="42"/>
      <c r="I46" s="42"/>
      <c r="J46" s="42"/>
      <c r="K46" s="42"/>
      <c r="L46" s="42"/>
      <c r="M46" s="42"/>
    </row>
    <row r="47">
      <c r="A47" s="44">
        <v>45256.0</v>
      </c>
      <c r="B47" s="40" t="s">
        <v>17</v>
      </c>
      <c r="C47" s="41">
        <v>23.27</v>
      </c>
      <c r="D47" s="41" t="s">
        <v>374</v>
      </c>
      <c r="E47" s="41"/>
      <c r="G47" s="42"/>
      <c r="H47" s="42"/>
      <c r="I47" s="42"/>
      <c r="J47" s="42"/>
      <c r="K47" s="42"/>
      <c r="L47" s="42"/>
      <c r="M47" s="42"/>
    </row>
    <row r="48">
      <c r="A48" s="44">
        <v>45257.0</v>
      </c>
      <c r="B48" s="40" t="s">
        <v>17</v>
      </c>
      <c r="C48" s="41">
        <v>21.0</v>
      </c>
      <c r="D48" s="41" t="s">
        <v>375</v>
      </c>
      <c r="E48" s="41"/>
      <c r="G48" s="42"/>
      <c r="H48" s="42"/>
      <c r="I48" s="42"/>
      <c r="J48" s="42"/>
      <c r="K48" s="42"/>
      <c r="L48" s="42"/>
      <c r="M48" s="42"/>
    </row>
    <row r="49">
      <c r="A49" s="44">
        <v>45258.0</v>
      </c>
      <c r="B49" s="40" t="s">
        <v>25</v>
      </c>
      <c r="C49" s="41">
        <v>25.06</v>
      </c>
      <c r="D49" s="41" t="s">
        <v>376</v>
      </c>
      <c r="E49" s="41"/>
      <c r="G49" s="42"/>
      <c r="H49" s="42"/>
      <c r="I49" s="42"/>
      <c r="J49" s="42"/>
      <c r="K49" s="42"/>
      <c r="L49" s="42"/>
      <c r="M49" s="42"/>
    </row>
    <row r="50">
      <c r="A50" s="44">
        <v>45259.0</v>
      </c>
      <c r="B50" s="40" t="s">
        <v>25</v>
      </c>
      <c r="C50" s="41">
        <v>10.46</v>
      </c>
      <c r="D50" s="41" t="s">
        <v>119</v>
      </c>
      <c r="E50" s="41"/>
      <c r="G50" s="42"/>
      <c r="H50" s="42"/>
      <c r="I50" s="42"/>
      <c r="J50" s="42"/>
      <c r="K50" s="42"/>
      <c r="L50" s="42"/>
      <c r="M50" s="42"/>
    </row>
    <row r="51">
      <c r="A51" s="44">
        <v>45260.0</v>
      </c>
      <c r="B51" s="40" t="s">
        <v>25</v>
      </c>
      <c r="C51" s="41">
        <v>9.41</v>
      </c>
      <c r="D51" s="41" t="s">
        <v>377</v>
      </c>
      <c r="E51" s="41"/>
      <c r="G51" s="42"/>
      <c r="H51" s="42"/>
      <c r="I51" s="42"/>
      <c r="J51" s="42"/>
      <c r="K51" s="42"/>
      <c r="L51" s="42"/>
      <c r="M51" s="42"/>
    </row>
    <row r="52">
      <c r="A52" s="44">
        <v>45235.0</v>
      </c>
      <c r="B52" s="40" t="s">
        <v>17</v>
      </c>
      <c r="C52" s="41">
        <v>14.28</v>
      </c>
      <c r="D52" s="41" t="s">
        <v>378</v>
      </c>
      <c r="E52" s="41"/>
      <c r="G52" s="42"/>
      <c r="H52" s="42"/>
      <c r="I52" s="42"/>
      <c r="J52" s="42"/>
      <c r="K52" s="42"/>
      <c r="L52" s="42"/>
      <c r="M52" s="42"/>
    </row>
    <row r="53">
      <c r="A53" s="44">
        <v>45236.0</v>
      </c>
      <c r="B53" s="40" t="s">
        <v>17</v>
      </c>
      <c r="C53" s="41">
        <v>6.77</v>
      </c>
      <c r="D53" s="41" t="s">
        <v>379</v>
      </c>
      <c r="E53" s="41"/>
      <c r="G53" s="42"/>
      <c r="H53" s="42"/>
      <c r="I53" s="42"/>
      <c r="J53" s="42"/>
      <c r="K53" s="42"/>
      <c r="L53" s="42"/>
      <c r="M53" s="42"/>
    </row>
    <row r="54">
      <c r="A54" s="44">
        <v>45237.0</v>
      </c>
      <c r="B54" s="40" t="s">
        <v>17</v>
      </c>
      <c r="C54" s="41">
        <v>15.17</v>
      </c>
      <c r="D54" s="41" t="s">
        <v>380</v>
      </c>
      <c r="E54" s="41"/>
      <c r="G54" s="42"/>
      <c r="H54" s="42"/>
      <c r="I54" s="42"/>
      <c r="J54" s="42"/>
      <c r="K54" s="42"/>
      <c r="L54" s="42"/>
      <c r="M54" s="42"/>
    </row>
    <row r="55">
      <c r="A55" s="44">
        <v>45238.0</v>
      </c>
      <c r="B55" s="40" t="s">
        <v>17</v>
      </c>
      <c r="C55" s="41">
        <f>52.75</f>
        <v>52.75</v>
      </c>
      <c r="D55" s="41" t="s">
        <v>381</v>
      </c>
      <c r="E55" s="41"/>
      <c r="G55" s="42"/>
      <c r="H55" s="42"/>
      <c r="I55" s="42"/>
      <c r="J55" s="42"/>
      <c r="K55" s="42"/>
      <c r="L55" s="42"/>
      <c r="M55" s="42"/>
    </row>
    <row r="56">
      <c r="A56" s="44">
        <v>45239.0</v>
      </c>
      <c r="B56" s="40" t="s">
        <v>17</v>
      </c>
      <c r="C56" s="41">
        <v>207.0</v>
      </c>
      <c r="D56" s="41" t="s">
        <v>382</v>
      </c>
      <c r="E56" s="41"/>
      <c r="G56" s="42"/>
      <c r="H56" s="42"/>
      <c r="I56" s="42"/>
      <c r="J56" s="42"/>
      <c r="K56" s="42"/>
      <c r="L56" s="42"/>
      <c r="M56" s="42"/>
    </row>
    <row r="57">
      <c r="A57" s="44">
        <v>45240.0</v>
      </c>
      <c r="B57" s="40" t="s">
        <v>17</v>
      </c>
      <c r="C57" s="41">
        <v>5.09</v>
      </c>
      <c r="D57" s="41" t="s">
        <v>383</v>
      </c>
      <c r="E57" s="41"/>
      <c r="G57" s="42"/>
      <c r="H57" s="42"/>
      <c r="I57" s="42"/>
      <c r="J57" s="42"/>
      <c r="K57" s="42"/>
      <c r="L57" s="42"/>
      <c r="M57" s="42"/>
    </row>
    <row r="58">
      <c r="A58" s="44">
        <v>45241.0</v>
      </c>
      <c r="B58" s="40" t="s">
        <v>17</v>
      </c>
      <c r="C58" s="41">
        <v>36.31</v>
      </c>
      <c r="D58" s="41" t="s">
        <v>384</v>
      </c>
      <c r="E58" s="41"/>
      <c r="G58" s="42"/>
      <c r="H58" s="42"/>
      <c r="I58" s="42"/>
      <c r="J58" s="42"/>
      <c r="K58" s="42"/>
      <c r="L58" s="42"/>
      <c r="M58" s="42"/>
    </row>
    <row r="59">
      <c r="A59" s="44">
        <v>45249.0</v>
      </c>
      <c r="B59" s="40" t="s">
        <v>25</v>
      </c>
      <c r="C59" s="41">
        <v>8.65</v>
      </c>
      <c r="D59" s="41" t="s">
        <v>385</v>
      </c>
      <c r="E59" s="41"/>
      <c r="G59" s="42"/>
      <c r="H59" s="42"/>
      <c r="I59" s="42"/>
      <c r="J59" s="42"/>
      <c r="K59" s="42"/>
      <c r="L59" s="42"/>
      <c r="M59" s="42"/>
    </row>
    <row r="60">
      <c r="A60" s="44">
        <v>45248.0</v>
      </c>
      <c r="B60" s="40" t="s">
        <v>22</v>
      </c>
      <c r="C60" s="41">
        <v>40.85</v>
      </c>
      <c r="D60" s="41" t="s">
        <v>386</v>
      </c>
      <c r="E60" s="41"/>
      <c r="G60" s="42"/>
      <c r="H60" s="42"/>
      <c r="I60" s="42"/>
      <c r="J60" s="42"/>
      <c r="K60" s="42"/>
      <c r="L60" s="42"/>
      <c r="M60" s="42"/>
    </row>
    <row r="61">
      <c r="A61" s="44">
        <v>45248.0</v>
      </c>
      <c r="B61" s="40" t="s">
        <v>17</v>
      </c>
      <c r="C61" s="41">
        <v>18.25</v>
      </c>
      <c r="D61" s="41" t="s">
        <v>387</v>
      </c>
      <c r="E61" s="41"/>
      <c r="G61" s="42"/>
      <c r="H61" s="42"/>
      <c r="I61" s="42"/>
      <c r="J61" s="42"/>
      <c r="K61" s="42"/>
      <c r="L61" s="42"/>
      <c r="M61" s="42"/>
    </row>
    <row r="62">
      <c r="A62" s="44">
        <v>45249.0</v>
      </c>
      <c r="B62" s="40" t="s">
        <v>22</v>
      </c>
      <c r="C62" s="41">
        <v>27.25</v>
      </c>
      <c r="D62" s="41" t="s">
        <v>70</v>
      </c>
      <c r="E62" s="41"/>
      <c r="G62" s="42"/>
      <c r="H62" s="42"/>
      <c r="I62" s="42"/>
      <c r="J62" s="42"/>
      <c r="K62" s="42"/>
      <c r="L62" s="42"/>
      <c r="M62" s="42"/>
    </row>
    <row r="63">
      <c r="A63" s="44">
        <v>45237.0</v>
      </c>
      <c r="B63" s="40" t="s">
        <v>17</v>
      </c>
      <c r="C63" s="41">
        <v>62.62</v>
      </c>
      <c r="D63" s="41" t="s">
        <v>388</v>
      </c>
      <c r="E63" s="41"/>
      <c r="G63" s="42"/>
      <c r="H63" s="42"/>
      <c r="I63" s="42"/>
      <c r="J63" s="42"/>
      <c r="K63" s="42"/>
      <c r="L63" s="42"/>
      <c r="M63" s="42"/>
    </row>
    <row r="64">
      <c r="A64" s="44">
        <v>45241.0</v>
      </c>
      <c r="B64" s="40" t="s">
        <v>15</v>
      </c>
      <c r="C64" s="41" t="s">
        <v>389</v>
      </c>
      <c r="D64" s="41" t="s">
        <v>47</v>
      </c>
      <c r="E64" s="41"/>
      <c r="G64" s="42"/>
      <c r="H64" s="42"/>
      <c r="I64" s="42"/>
      <c r="J64" s="42"/>
      <c r="K64" s="42"/>
      <c r="L64" s="42"/>
      <c r="M64" s="42"/>
    </row>
    <row r="65">
      <c r="A65" s="44">
        <v>45249.0</v>
      </c>
      <c r="B65" s="40" t="s">
        <v>15</v>
      </c>
      <c r="C65" s="41">
        <v>75.35</v>
      </c>
      <c r="D65" s="41" t="s">
        <v>15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45242.0</v>
      </c>
      <c r="B66" s="40" t="s">
        <v>15</v>
      </c>
      <c r="C66" s="41">
        <v>35.18</v>
      </c>
      <c r="D66" s="41" t="s">
        <v>390</v>
      </c>
      <c r="E66" s="41"/>
      <c r="G66" s="42"/>
      <c r="H66" s="42"/>
      <c r="I66" s="42"/>
      <c r="J66" s="42"/>
      <c r="K66" s="42"/>
      <c r="L66" s="42"/>
      <c r="M66" s="42"/>
    </row>
    <row r="67">
      <c r="A67" s="44">
        <v>45244.0</v>
      </c>
      <c r="B67" s="40" t="s">
        <v>19</v>
      </c>
      <c r="C67" s="41">
        <v>34.0</v>
      </c>
      <c r="D67" s="41" t="s">
        <v>391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45249.0</v>
      </c>
      <c r="B68" s="40" t="s">
        <v>79</v>
      </c>
      <c r="C68" s="41">
        <v>206.0</v>
      </c>
      <c r="D68" s="41" t="s">
        <v>367</v>
      </c>
      <c r="E68" s="41"/>
      <c r="G68" s="42"/>
      <c r="H68" s="42"/>
      <c r="I68" s="42"/>
      <c r="J68" s="42"/>
      <c r="K68" s="42"/>
      <c r="L68" s="42"/>
      <c r="M68" s="42"/>
    </row>
    <row r="69">
      <c r="A69" s="44">
        <v>45249.0</v>
      </c>
      <c r="B69" s="40" t="s">
        <v>25</v>
      </c>
      <c r="C69" s="41">
        <v>17.0</v>
      </c>
      <c r="D69" s="41" t="s">
        <v>392</v>
      </c>
      <c r="E69" s="41"/>
      <c r="G69" s="42"/>
      <c r="H69" s="42"/>
      <c r="I69" s="42"/>
      <c r="J69" s="42"/>
      <c r="K69" s="42"/>
      <c r="L69" s="42"/>
      <c r="M69" s="42"/>
    </row>
    <row r="70">
      <c r="A70" s="44">
        <v>45253.0</v>
      </c>
      <c r="B70" s="40" t="s">
        <v>25</v>
      </c>
      <c r="C70" s="41">
        <v>8.11</v>
      </c>
      <c r="D70" s="41" t="s">
        <v>346</v>
      </c>
      <c r="E70" s="41"/>
      <c r="G70" s="42"/>
      <c r="H70" s="42"/>
      <c r="I70" s="42"/>
      <c r="J70" s="42"/>
      <c r="K70" s="42"/>
      <c r="L70" s="42"/>
      <c r="M70" s="42"/>
    </row>
    <row r="71">
      <c r="A71" s="44">
        <v>45250.0</v>
      </c>
      <c r="B71" s="40" t="s">
        <v>15</v>
      </c>
      <c r="C71" s="41">
        <v>6.35</v>
      </c>
      <c r="D71" s="41" t="s">
        <v>393</v>
      </c>
      <c r="E71" s="41"/>
      <c r="G71" s="42"/>
      <c r="H71" s="42"/>
      <c r="I71" s="42"/>
      <c r="J71" s="42"/>
      <c r="K71" s="42"/>
      <c r="L71" s="42"/>
      <c r="M71" s="42"/>
    </row>
    <row r="72">
      <c r="A72" s="44">
        <v>45250.0</v>
      </c>
      <c r="B72" s="40" t="s">
        <v>25</v>
      </c>
      <c r="C72" s="41">
        <v>8.1</v>
      </c>
      <c r="D72" s="41" t="s">
        <v>394</v>
      </c>
      <c r="E72" s="41"/>
      <c r="G72" s="42"/>
      <c r="H72" s="42"/>
      <c r="I72" s="42"/>
      <c r="J72" s="42"/>
      <c r="K72" s="42"/>
      <c r="L72" s="42"/>
      <c r="M72" s="42"/>
    </row>
    <row r="73">
      <c r="A73" s="44">
        <v>45251.0</v>
      </c>
      <c r="B73" s="40" t="s">
        <v>15</v>
      </c>
      <c r="C73" s="41">
        <v>24.35</v>
      </c>
      <c r="D73" s="41" t="s">
        <v>393</v>
      </c>
      <c r="E73" s="41"/>
      <c r="G73" s="87"/>
      <c r="H73" s="42"/>
      <c r="I73" s="42"/>
      <c r="J73" s="42"/>
      <c r="K73" s="42"/>
      <c r="L73" s="42"/>
      <c r="M73" s="42"/>
    </row>
    <row r="74">
      <c r="A74" s="44">
        <v>45252.0</v>
      </c>
      <c r="B74" s="40" t="s">
        <v>79</v>
      </c>
      <c r="C74" s="41">
        <v>96.07</v>
      </c>
      <c r="D74" s="41" t="s">
        <v>395</v>
      </c>
      <c r="E74" s="41"/>
      <c r="G74" s="87"/>
      <c r="H74" s="42"/>
      <c r="I74" s="42"/>
      <c r="J74" s="42"/>
      <c r="K74" s="42"/>
      <c r="L74" s="42"/>
      <c r="M74" s="42"/>
    </row>
    <row r="75">
      <c r="A75" s="44">
        <v>45253.0</v>
      </c>
      <c r="B75" s="40" t="s">
        <v>17</v>
      </c>
      <c r="C75" s="41">
        <f>IFERROR(__xludf.DUMMYFUNCTION("G75*-1"),73.0)</f>
        <v>73</v>
      </c>
      <c r="D75" s="41" t="s">
        <v>388</v>
      </c>
      <c r="E75" s="41"/>
      <c r="G75" s="88">
        <v>-73.0</v>
      </c>
      <c r="H75" s="42"/>
      <c r="I75" s="42"/>
      <c r="J75" s="42"/>
      <c r="K75" s="42"/>
      <c r="L75" s="42"/>
      <c r="M75" s="42"/>
    </row>
    <row r="76">
      <c r="A76" s="44">
        <v>45260.0</v>
      </c>
      <c r="B76" s="40" t="s">
        <v>25</v>
      </c>
      <c r="C76" s="41">
        <f>IFERROR(__xludf.DUMMYFUNCTION("G76*-1"),37.82)</f>
        <v>37.82</v>
      </c>
      <c r="D76" s="41" t="s">
        <v>396</v>
      </c>
      <c r="E76" s="41"/>
      <c r="G76" s="88">
        <v>-37.82</v>
      </c>
      <c r="H76" s="42"/>
      <c r="I76" s="42"/>
      <c r="J76" s="42"/>
      <c r="K76" s="42"/>
      <c r="L76" s="42"/>
      <c r="M76" s="42"/>
    </row>
    <row r="77">
      <c r="A77" s="44">
        <v>45259.0</v>
      </c>
      <c r="B77" s="40" t="s">
        <v>17</v>
      </c>
      <c r="C77" s="41">
        <f>IFERROR(__xludf.DUMMYFUNCTION("G77*-1"),23.21)</f>
        <v>23.21</v>
      </c>
      <c r="D77" s="41" t="s">
        <v>397</v>
      </c>
      <c r="E77" s="41"/>
      <c r="G77" s="88">
        <v>-23.21</v>
      </c>
      <c r="H77" s="42"/>
      <c r="I77" s="42"/>
      <c r="J77" s="42"/>
      <c r="K77" s="42"/>
      <c r="L77" s="42"/>
      <c r="M77" s="42"/>
    </row>
    <row r="78">
      <c r="A78" s="44">
        <v>45259.0</v>
      </c>
      <c r="B78" s="40" t="s">
        <v>17</v>
      </c>
      <c r="C78" s="41">
        <f>IFERROR(__xludf.DUMMYFUNCTION("G78*-1"),559.01)</f>
        <v>559.01</v>
      </c>
      <c r="D78" s="41" t="s">
        <v>398</v>
      </c>
      <c r="E78" s="41"/>
      <c r="G78" s="88">
        <v>-559.01</v>
      </c>
      <c r="H78" s="42"/>
      <c r="I78" s="42"/>
      <c r="J78" s="42"/>
      <c r="K78" s="42"/>
      <c r="L78" s="42"/>
      <c r="M78" s="42"/>
    </row>
    <row r="79">
      <c r="A79" s="44">
        <v>45259.0</v>
      </c>
      <c r="B79" s="40" t="s">
        <v>17</v>
      </c>
      <c r="C79" s="41">
        <f>IFERROR(__xludf.DUMMYFUNCTION("G79*-1"),59.19)</f>
        <v>59.19</v>
      </c>
      <c r="D79" s="41" t="s">
        <v>399</v>
      </c>
      <c r="E79" s="41"/>
      <c r="G79" s="88">
        <v>-59.19</v>
      </c>
      <c r="H79" s="42"/>
      <c r="I79" s="42"/>
      <c r="J79" s="42"/>
      <c r="K79" s="42"/>
      <c r="L79" s="42"/>
      <c r="M79" s="42"/>
    </row>
    <row r="80">
      <c r="A80" s="44">
        <v>45258.0</v>
      </c>
      <c r="B80" s="40" t="s">
        <v>25</v>
      </c>
      <c r="C80" s="41">
        <f>IFERROR(__xludf.DUMMYFUNCTION("G80*-1"),0.99)</f>
        <v>0.99</v>
      </c>
      <c r="D80" s="89" t="s">
        <v>400</v>
      </c>
      <c r="E80" s="41"/>
      <c r="G80" s="88">
        <v>-0.99</v>
      </c>
      <c r="H80" s="42"/>
      <c r="I80" s="42"/>
      <c r="J80" s="42"/>
      <c r="K80" s="42"/>
      <c r="L80" s="42"/>
      <c r="M80" s="42"/>
    </row>
    <row r="81">
      <c r="A81" s="44">
        <v>45257.0</v>
      </c>
      <c r="B81" s="40" t="s">
        <v>25</v>
      </c>
      <c r="C81" s="41">
        <f>IFERROR(__xludf.DUMMYFUNCTION("G81*-1"),23.0)</f>
        <v>23</v>
      </c>
      <c r="D81" s="41" t="s">
        <v>401</v>
      </c>
      <c r="E81" s="41"/>
      <c r="G81" s="88">
        <v>-23.0</v>
      </c>
      <c r="H81" s="42"/>
      <c r="I81" s="42"/>
      <c r="J81" s="42"/>
      <c r="K81" s="42"/>
      <c r="L81" s="42"/>
      <c r="M81" s="42"/>
    </row>
    <row r="82">
      <c r="A82" s="44">
        <v>45257.0</v>
      </c>
      <c r="B82" s="40" t="s">
        <v>17</v>
      </c>
      <c r="C82" s="41">
        <f>IFERROR(__xludf.DUMMYFUNCTION("G82*-1"),45.33)</f>
        <v>45.33</v>
      </c>
      <c r="D82" s="41" t="s">
        <v>402</v>
      </c>
      <c r="E82" s="41"/>
      <c r="G82" s="88">
        <v>-45.33</v>
      </c>
      <c r="H82" s="42"/>
      <c r="I82" s="42"/>
      <c r="J82" s="42"/>
      <c r="K82" s="42"/>
      <c r="L82" s="42"/>
      <c r="M82" s="42"/>
    </row>
    <row r="83">
      <c r="A83" s="44">
        <v>45257.0</v>
      </c>
      <c r="B83" s="40" t="s">
        <v>19</v>
      </c>
      <c r="C83" s="41">
        <f>IFERROR(__xludf.DUMMYFUNCTION("G83*-1"),147.83)</f>
        <v>147.83</v>
      </c>
      <c r="D83" s="41" t="s">
        <v>403</v>
      </c>
      <c r="E83" s="41"/>
      <c r="G83" s="88">
        <v>-147.83</v>
      </c>
      <c r="H83" s="42"/>
      <c r="I83" s="42"/>
      <c r="J83" s="42"/>
      <c r="K83" s="42"/>
      <c r="L83" s="42"/>
      <c r="M83" s="42"/>
    </row>
    <row r="84">
      <c r="A84" s="44">
        <v>45257.0</v>
      </c>
      <c r="B84" s="40" t="s">
        <v>17</v>
      </c>
      <c r="C84" s="41">
        <f>IFERROR(__xludf.DUMMYFUNCTION("G84*-1"),31.97)</f>
        <v>31.97</v>
      </c>
      <c r="D84" s="41" t="s">
        <v>404</v>
      </c>
      <c r="E84" s="41"/>
      <c r="G84" s="88">
        <v>-31.97</v>
      </c>
      <c r="H84" s="42"/>
      <c r="I84" s="42"/>
      <c r="J84" s="42"/>
      <c r="K84" s="42"/>
      <c r="L84" s="42"/>
      <c r="M84" s="42"/>
    </row>
    <row r="85">
      <c r="A85" s="44">
        <v>45256.0</v>
      </c>
      <c r="B85" s="40" t="s">
        <v>19</v>
      </c>
      <c r="C85" s="41">
        <f>IFERROR(__xludf.DUMMYFUNCTION("G85*-1"),64.94)</f>
        <v>64.94</v>
      </c>
      <c r="D85" s="41" t="s">
        <v>405</v>
      </c>
      <c r="E85" s="41"/>
      <c r="G85" s="88">
        <v>-64.94</v>
      </c>
      <c r="H85" s="42"/>
      <c r="I85" s="42"/>
      <c r="J85" s="42"/>
      <c r="K85" s="42"/>
      <c r="L85" s="42"/>
      <c r="M85" s="42"/>
    </row>
    <row r="86">
      <c r="A86" s="44">
        <v>45256.0</v>
      </c>
      <c r="B86" s="40" t="s">
        <v>25</v>
      </c>
      <c r="C86" s="41">
        <f>IFERROR(__xludf.DUMMYFUNCTION("G86*-1"),13.3)</f>
        <v>13.3</v>
      </c>
      <c r="D86" s="41" t="s">
        <v>406</v>
      </c>
      <c r="E86" s="41"/>
      <c r="G86" s="88">
        <v>-13.3</v>
      </c>
      <c r="H86" s="42"/>
      <c r="I86" s="42"/>
      <c r="J86" s="42"/>
      <c r="K86" s="42"/>
      <c r="L86" s="42"/>
      <c r="M86" s="42"/>
    </row>
    <row r="87">
      <c r="A87" s="44">
        <v>45256.0</v>
      </c>
      <c r="B87" s="40" t="s">
        <v>17</v>
      </c>
      <c r="C87" s="41">
        <f>IFERROR(__xludf.DUMMYFUNCTION("G87*-1"),50.37)</f>
        <v>50.37</v>
      </c>
      <c r="D87" s="41" t="s">
        <v>407</v>
      </c>
      <c r="E87" s="41"/>
      <c r="G87" s="88">
        <v>-50.37</v>
      </c>
      <c r="H87" s="42"/>
      <c r="I87" s="42"/>
      <c r="J87" s="42"/>
      <c r="K87" s="42"/>
      <c r="L87" s="42"/>
      <c r="M87" s="42"/>
    </row>
    <row r="88">
      <c r="A88" s="44">
        <v>45256.0</v>
      </c>
      <c r="B88" s="40" t="s">
        <v>19</v>
      </c>
      <c r="C88" s="41">
        <f>IFERROR(__xludf.DUMMYFUNCTION("G88*-1"),17.49)</f>
        <v>17.49</v>
      </c>
      <c r="D88" s="41" t="s">
        <v>408</v>
      </c>
      <c r="E88" s="41"/>
      <c r="G88" s="88">
        <v>-17.49</v>
      </c>
      <c r="H88" s="42"/>
      <c r="I88" s="42"/>
      <c r="J88" s="42"/>
      <c r="K88" s="42"/>
      <c r="L88" s="42"/>
      <c r="M88" s="42"/>
    </row>
    <row r="89">
      <c r="A89" s="44">
        <v>45256.0</v>
      </c>
      <c r="B89" s="40" t="s">
        <v>25</v>
      </c>
      <c r="C89" s="41">
        <f>IFERROR(__xludf.DUMMYFUNCTION("G89*-1"),13.3)</f>
        <v>13.3</v>
      </c>
      <c r="D89" s="41" t="s">
        <v>406</v>
      </c>
      <c r="E89" s="41"/>
      <c r="G89" s="88">
        <v>-13.3</v>
      </c>
      <c r="H89" s="42"/>
      <c r="I89" s="42"/>
      <c r="J89" s="42"/>
      <c r="K89" s="42"/>
      <c r="L89" s="42"/>
      <c r="M89" s="42"/>
    </row>
    <row r="90">
      <c r="A90" s="44">
        <v>45256.0</v>
      </c>
      <c r="B90" s="40" t="s">
        <v>19</v>
      </c>
      <c r="C90" s="41">
        <f>IFERROR(__xludf.DUMMYFUNCTION("G90*-1"),562.63)</f>
        <v>562.63</v>
      </c>
      <c r="D90" s="41" t="s">
        <v>403</v>
      </c>
      <c r="E90" s="41"/>
      <c r="G90" s="88">
        <v>-562.63</v>
      </c>
      <c r="H90" s="42"/>
      <c r="I90" s="42"/>
      <c r="J90" s="42"/>
      <c r="K90" s="42"/>
      <c r="L90" s="42"/>
      <c r="M90" s="42"/>
    </row>
    <row r="91">
      <c r="A91" s="44">
        <v>45256.0</v>
      </c>
      <c r="B91" s="40" t="s">
        <v>25</v>
      </c>
      <c r="C91" s="41">
        <f>IFERROR(__xludf.DUMMYFUNCTION("G91*-1"),2667.72)</f>
        <v>2667.72</v>
      </c>
      <c r="D91" s="41" t="s">
        <v>409</v>
      </c>
      <c r="E91" s="41"/>
      <c r="G91" s="88">
        <v>-2667.72</v>
      </c>
      <c r="H91" s="42"/>
      <c r="I91" s="42"/>
      <c r="J91" s="42"/>
      <c r="K91" s="42"/>
      <c r="L91" s="42"/>
      <c r="M91" s="42"/>
    </row>
    <row r="92">
      <c r="A92" s="44">
        <v>45254.0</v>
      </c>
      <c r="B92" s="40" t="s">
        <v>25</v>
      </c>
      <c r="C92" s="41">
        <f>IFERROR(__xludf.DUMMYFUNCTION("G92*-1"),61.94)</f>
        <v>61.94</v>
      </c>
      <c r="D92" s="41" t="s">
        <v>396</v>
      </c>
      <c r="E92" s="41"/>
      <c r="G92" s="88">
        <v>-61.94</v>
      </c>
      <c r="H92" s="42"/>
      <c r="I92" s="42"/>
      <c r="J92" s="42"/>
      <c r="K92" s="42"/>
      <c r="L92" s="42"/>
      <c r="M92" s="42"/>
    </row>
    <row r="93">
      <c r="A93" s="44">
        <v>45253.0</v>
      </c>
      <c r="B93" s="40" t="s">
        <v>25</v>
      </c>
      <c r="C93" s="41">
        <f>IFERROR(__xludf.DUMMYFUNCTION("G93*-1"),37.67)</f>
        <v>37.67</v>
      </c>
      <c r="D93" s="41" t="s">
        <v>406</v>
      </c>
      <c r="E93" s="41"/>
      <c r="G93" s="88">
        <v>-37.67</v>
      </c>
      <c r="H93" s="42"/>
      <c r="I93" s="42"/>
      <c r="J93" s="42"/>
      <c r="K93" s="42"/>
      <c r="L93" s="42"/>
      <c r="M93" s="42"/>
    </row>
    <row r="94">
      <c r="A94" s="44">
        <v>45253.0</v>
      </c>
      <c r="B94" s="40" t="s">
        <v>25</v>
      </c>
      <c r="C94" s="41">
        <f>IFERROR(__xludf.DUMMYFUNCTION("G94*-1"),34.38)</f>
        <v>34.38</v>
      </c>
      <c r="D94" s="41" t="s">
        <v>396</v>
      </c>
      <c r="E94" s="41"/>
      <c r="G94" s="88">
        <v>-34.38</v>
      </c>
      <c r="H94" s="42"/>
      <c r="I94" s="42"/>
      <c r="J94" s="42"/>
      <c r="K94" s="42"/>
      <c r="L94" s="42"/>
      <c r="M94" s="42"/>
    </row>
    <row r="95">
      <c r="A95" s="44">
        <v>45253.0</v>
      </c>
      <c r="B95" s="40" t="s">
        <v>17</v>
      </c>
      <c r="C95" s="41">
        <f>IFERROR(__xludf.DUMMYFUNCTION("G95*-1"),53.08)</f>
        <v>53.08</v>
      </c>
      <c r="D95" s="41" t="s">
        <v>410</v>
      </c>
      <c r="E95" s="41"/>
      <c r="G95" s="88">
        <v>-53.08</v>
      </c>
      <c r="H95" s="42"/>
      <c r="I95" s="42"/>
      <c r="J95" s="42"/>
      <c r="K95" s="42"/>
      <c r="L95" s="42"/>
      <c r="M95" s="42"/>
    </row>
    <row r="96">
      <c r="A96" s="44">
        <v>45258.0</v>
      </c>
      <c r="B96" s="40" t="s">
        <v>25</v>
      </c>
      <c r="C96" s="41">
        <v>61.2</v>
      </c>
      <c r="D96" s="41" t="s">
        <v>411</v>
      </c>
      <c r="E96" s="41"/>
      <c r="G96" s="87"/>
      <c r="H96" s="42"/>
      <c r="I96" s="42"/>
      <c r="J96" s="42"/>
      <c r="K96" s="42"/>
      <c r="L96" s="42"/>
      <c r="M96" s="42"/>
    </row>
    <row r="97">
      <c r="A97" s="44">
        <v>45260.0</v>
      </c>
      <c r="B97" s="40" t="s">
        <v>24</v>
      </c>
      <c r="C97" s="41">
        <v>61.0</v>
      </c>
      <c r="D97" s="41" t="s">
        <v>148</v>
      </c>
      <c r="E97" s="41"/>
      <c r="G97" s="42"/>
      <c r="H97" s="42"/>
      <c r="I97" s="42"/>
      <c r="J97" s="42"/>
      <c r="K97" s="42"/>
      <c r="L97" s="42"/>
      <c r="M97" s="42"/>
    </row>
    <row r="98">
      <c r="A98" s="44">
        <v>45260.0</v>
      </c>
      <c r="B98" s="40" t="s">
        <v>17</v>
      </c>
      <c r="C98" s="41">
        <v>16.66</v>
      </c>
      <c r="D98" s="41" t="s">
        <v>412</v>
      </c>
      <c r="E98" s="41"/>
      <c r="G98" s="42"/>
      <c r="H98" s="42"/>
      <c r="I98" s="42"/>
      <c r="J98" s="42"/>
      <c r="K98" s="42"/>
      <c r="L98" s="42"/>
      <c r="M98" s="42"/>
    </row>
    <row r="99">
      <c r="A99" s="44">
        <v>45259.0</v>
      </c>
      <c r="B99" s="40" t="s">
        <v>17</v>
      </c>
      <c r="C99" s="41">
        <v>29.16</v>
      </c>
      <c r="D99" s="41" t="s">
        <v>413</v>
      </c>
      <c r="E99" s="41"/>
      <c r="G99" s="42"/>
      <c r="H99" s="42"/>
      <c r="I99" s="42"/>
      <c r="J99" s="42"/>
      <c r="K99" s="42"/>
      <c r="L99" s="42"/>
      <c r="M99" s="42"/>
    </row>
    <row r="100">
      <c r="A100" s="44">
        <v>45258.0</v>
      </c>
      <c r="B100" s="40" t="s">
        <v>19</v>
      </c>
      <c r="C100" s="41">
        <v>75.62</v>
      </c>
      <c r="D100" s="41" t="s">
        <v>414</v>
      </c>
      <c r="E100" s="41"/>
      <c r="G100" s="42"/>
      <c r="H100" s="42"/>
      <c r="I100" s="42"/>
      <c r="J100" s="42"/>
      <c r="K100" s="42"/>
      <c r="L100" s="42"/>
      <c r="M100" s="42"/>
    </row>
    <row r="101">
      <c r="A101" s="44">
        <v>45258.0</v>
      </c>
      <c r="B101" s="40" t="s">
        <v>25</v>
      </c>
      <c r="C101" s="41">
        <v>56.22</v>
      </c>
      <c r="D101" s="41" t="s">
        <v>415</v>
      </c>
      <c r="E101" s="41"/>
      <c r="G101" s="42"/>
      <c r="H101" s="42"/>
      <c r="I101" s="42"/>
      <c r="J101" s="42"/>
      <c r="K101" s="42"/>
      <c r="L101" s="42"/>
      <c r="M101" s="42"/>
    </row>
    <row r="102">
      <c r="A102" s="44">
        <v>45257.0</v>
      </c>
      <c r="B102" s="40" t="s">
        <v>17</v>
      </c>
      <c r="C102" s="41">
        <v>93.82</v>
      </c>
      <c r="D102" s="41" t="s">
        <v>416</v>
      </c>
      <c r="E102" s="41"/>
      <c r="G102" s="42"/>
      <c r="H102" s="42"/>
      <c r="I102" s="42"/>
      <c r="J102" s="42"/>
      <c r="K102" s="42"/>
      <c r="L102" s="42"/>
      <c r="M102" s="42"/>
    </row>
    <row r="103">
      <c r="A103" s="44">
        <v>45257.0</v>
      </c>
      <c r="B103" s="40" t="s">
        <v>17</v>
      </c>
      <c r="C103" s="41">
        <v>85.39</v>
      </c>
      <c r="D103" s="41" t="s">
        <v>417</v>
      </c>
      <c r="E103" s="41"/>
      <c r="G103" s="42"/>
      <c r="H103" s="42"/>
      <c r="I103" s="42"/>
      <c r="J103" s="42"/>
      <c r="K103" s="42"/>
      <c r="L103" s="42"/>
      <c r="M103" s="42"/>
    </row>
    <row r="104">
      <c r="A104" s="44">
        <v>45255.0</v>
      </c>
      <c r="B104" s="40" t="s">
        <v>25</v>
      </c>
      <c r="C104" s="41">
        <v>4.94</v>
      </c>
      <c r="D104" s="41" t="s">
        <v>418</v>
      </c>
      <c r="E104" s="41"/>
      <c r="G104" s="42"/>
      <c r="H104" s="42"/>
      <c r="I104" s="42"/>
      <c r="J104" s="42"/>
      <c r="K104" s="42"/>
      <c r="L104" s="42"/>
      <c r="M104" s="42"/>
    </row>
    <row r="105">
      <c r="A105" s="44">
        <v>45255.0</v>
      </c>
      <c r="B105" s="40" t="s">
        <v>25</v>
      </c>
      <c r="C105" s="41">
        <v>131.36</v>
      </c>
      <c r="D105" s="41" t="s">
        <v>419</v>
      </c>
      <c r="E105" s="41"/>
      <c r="G105" s="42"/>
      <c r="H105" s="42"/>
      <c r="I105" s="42"/>
      <c r="J105" s="42"/>
      <c r="K105" s="42"/>
      <c r="L105" s="42"/>
      <c r="M105" s="42"/>
    </row>
    <row r="106">
      <c r="A106" s="44">
        <v>45254.0</v>
      </c>
      <c r="B106" s="40" t="s">
        <v>25</v>
      </c>
      <c r="C106" s="41">
        <v>1.07</v>
      </c>
      <c r="D106" s="41" t="s">
        <v>420</v>
      </c>
      <c r="E106" s="41"/>
      <c r="G106" s="42"/>
      <c r="H106" s="42"/>
      <c r="I106" s="42"/>
      <c r="J106" s="42"/>
      <c r="K106" s="42"/>
      <c r="L106" s="42"/>
      <c r="M106" s="42"/>
    </row>
    <row r="107">
      <c r="A107" s="44">
        <v>45254.0</v>
      </c>
      <c r="B107" s="40" t="s">
        <v>17</v>
      </c>
      <c r="C107" s="41">
        <v>99.49</v>
      </c>
      <c r="D107" s="41" t="s">
        <v>421</v>
      </c>
      <c r="E107" s="41"/>
      <c r="G107" s="42"/>
      <c r="H107" s="42"/>
      <c r="I107" s="42"/>
      <c r="J107" s="42"/>
      <c r="K107" s="42"/>
      <c r="L107" s="42"/>
      <c r="M107" s="42"/>
    </row>
    <row r="108">
      <c r="A108" s="44">
        <v>45253.0</v>
      </c>
      <c r="B108" s="40" t="s">
        <v>17</v>
      </c>
      <c r="C108" s="41">
        <v>701.19</v>
      </c>
      <c r="D108" s="41" t="s">
        <v>422</v>
      </c>
      <c r="E108" s="41"/>
      <c r="G108" s="42"/>
      <c r="H108" s="42"/>
      <c r="I108" s="42"/>
      <c r="J108" s="42"/>
      <c r="K108" s="42"/>
      <c r="L108" s="42"/>
      <c r="M108" s="42"/>
    </row>
    <row r="109">
      <c r="A109" s="44">
        <v>45252.0</v>
      </c>
      <c r="B109" s="40" t="s">
        <v>15</v>
      </c>
      <c r="C109" s="41">
        <v>78.16</v>
      </c>
      <c r="D109" s="41" t="s">
        <v>423</v>
      </c>
      <c r="E109" s="41"/>
      <c r="G109" s="42"/>
      <c r="H109" s="42"/>
      <c r="I109" s="42"/>
      <c r="J109" s="42"/>
      <c r="K109" s="42"/>
      <c r="L109" s="42"/>
      <c r="M109" s="42"/>
    </row>
    <row r="110">
      <c r="A110" s="44">
        <v>45252.0</v>
      </c>
      <c r="B110" s="40" t="s">
        <v>17</v>
      </c>
      <c r="C110" s="41">
        <v>68.21</v>
      </c>
      <c r="D110" s="41" t="s">
        <v>424</v>
      </c>
      <c r="E110" s="41"/>
      <c r="G110" s="42"/>
      <c r="H110" s="42"/>
      <c r="I110" s="42"/>
      <c r="J110" s="42"/>
      <c r="K110" s="42"/>
      <c r="L110" s="42"/>
      <c r="M110" s="42"/>
    </row>
    <row r="111">
      <c r="A111" s="44">
        <v>45252.0</v>
      </c>
      <c r="B111" s="40" t="s">
        <v>25</v>
      </c>
      <c r="C111" s="41">
        <v>115.14</v>
      </c>
      <c r="D111" s="41" t="s">
        <v>425</v>
      </c>
      <c r="E111" s="41"/>
      <c r="G111" s="42"/>
      <c r="H111" s="42"/>
      <c r="I111" s="42"/>
      <c r="J111" s="42"/>
      <c r="K111" s="42"/>
      <c r="L111" s="42"/>
      <c r="M111" s="42"/>
    </row>
    <row r="112">
      <c r="A112" s="44">
        <v>45250.0</v>
      </c>
      <c r="B112" s="40" t="s">
        <v>25</v>
      </c>
      <c r="C112" s="41">
        <v>4.5</v>
      </c>
      <c r="D112" s="41" t="s">
        <v>426</v>
      </c>
      <c r="E112" s="41"/>
      <c r="G112" s="42"/>
      <c r="H112" s="42"/>
      <c r="I112" s="42"/>
      <c r="J112" s="42"/>
      <c r="K112" s="42"/>
      <c r="L112" s="42"/>
      <c r="M112" s="42"/>
    </row>
    <row r="113">
      <c r="A113" s="44">
        <v>45250.0</v>
      </c>
      <c r="B113" s="40" t="s">
        <v>25</v>
      </c>
      <c r="C113" s="41">
        <v>12.75</v>
      </c>
      <c r="D113" s="41" t="s">
        <v>426</v>
      </c>
      <c r="E113" s="41"/>
      <c r="G113" s="42"/>
      <c r="H113" s="42"/>
      <c r="I113" s="42"/>
      <c r="J113" s="42"/>
      <c r="K113" s="42"/>
      <c r="L113" s="42"/>
      <c r="M113" s="42"/>
    </row>
    <row r="114">
      <c r="A114" s="44"/>
      <c r="B114" s="40"/>
      <c r="C114" s="41"/>
      <c r="D114" s="41"/>
      <c r="E114" s="41"/>
      <c r="G114" s="42"/>
      <c r="H114" s="42"/>
      <c r="I114" s="42"/>
      <c r="J114" s="42"/>
      <c r="K114" s="42"/>
      <c r="L114" s="42"/>
      <c r="M114" s="42"/>
    </row>
    <row r="115">
      <c r="A115" s="44"/>
      <c r="B115" s="40"/>
      <c r="C115" s="41"/>
      <c r="D115" s="41"/>
      <c r="E115" s="41"/>
      <c r="G115" s="42"/>
      <c r="H115" s="42"/>
      <c r="I115" s="42"/>
      <c r="J115" s="42"/>
      <c r="K115" s="42"/>
      <c r="L115" s="42"/>
      <c r="M115" s="42"/>
    </row>
    <row r="116">
      <c r="A116" s="44"/>
      <c r="B116" s="40"/>
      <c r="C116" s="41"/>
      <c r="D116" s="41"/>
      <c r="E116" s="41"/>
      <c r="G116" s="42"/>
      <c r="H116" s="42"/>
      <c r="I116" s="42"/>
      <c r="J116" s="42"/>
      <c r="K116" s="42"/>
      <c r="L116" s="42"/>
      <c r="M116" s="42"/>
    </row>
    <row r="117">
      <c r="A117" s="44"/>
      <c r="B117" s="40"/>
      <c r="C117" s="41"/>
      <c r="D117" s="41"/>
      <c r="E117" s="41"/>
      <c r="G117" s="42"/>
      <c r="H117" s="42"/>
      <c r="I117" s="42"/>
      <c r="J117" s="42"/>
      <c r="K117" s="42"/>
      <c r="L117" s="42"/>
      <c r="M117" s="42"/>
    </row>
    <row r="118">
      <c r="A118" s="44"/>
      <c r="B118" s="40"/>
      <c r="C118" s="41"/>
      <c r="D118" s="41"/>
      <c r="E118" s="41"/>
      <c r="G118" s="42"/>
      <c r="H118" s="42"/>
      <c r="I118" s="42"/>
      <c r="J118" s="42"/>
      <c r="K118" s="42"/>
      <c r="L118" s="42"/>
      <c r="M118" s="42"/>
    </row>
    <row r="119">
      <c r="A119" s="44"/>
      <c r="B119" s="40"/>
      <c r="C119" s="41"/>
      <c r="D119" s="41"/>
      <c r="E119" s="41"/>
      <c r="G119" s="42"/>
      <c r="H119" s="42"/>
      <c r="I119" s="42"/>
      <c r="J119" s="42"/>
      <c r="K119" s="42"/>
      <c r="L119" s="42"/>
      <c r="M119" s="42"/>
    </row>
    <row r="120">
      <c r="A120" s="44"/>
      <c r="B120" s="40"/>
      <c r="C120" s="41"/>
      <c r="D120" s="41"/>
      <c r="E120" s="41"/>
      <c r="G120" s="42"/>
      <c r="H120" s="42"/>
      <c r="I120" s="42"/>
      <c r="J120" s="42"/>
      <c r="K120" s="42"/>
      <c r="L120" s="42"/>
      <c r="M120" s="42"/>
    </row>
    <row r="121">
      <c r="A121" s="44"/>
      <c r="B121" s="40"/>
      <c r="C121" s="41"/>
      <c r="D121" s="41"/>
      <c r="E121" s="41"/>
      <c r="G121" s="42"/>
      <c r="H121" s="42"/>
      <c r="I121" s="42"/>
      <c r="J121" s="42"/>
      <c r="K121" s="42"/>
      <c r="L121" s="42"/>
      <c r="M121" s="42"/>
    </row>
    <row r="122">
      <c r="A122" s="44"/>
      <c r="B122" s="40"/>
      <c r="C122" s="41"/>
      <c r="D122" s="41"/>
      <c r="E122" s="41"/>
      <c r="G122" s="42"/>
      <c r="H122" s="42"/>
      <c r="I122" s="42"/>
      <c r="J122" s="42"/>
      <c r="K122" s="42"/>
      <c r="L122" s="42"/>
      <c r="M122" s="42"/>
    </row>
    <row r="123">
      <c r="A123" s="44"/>
      <c r="B123" s="40"/>
      <c r="C123" s="41"/>
      <c r="D123" s="41"/>
      <c r="E123" s="41"/>
      <c r="G123" s="42"/>
      <c r="H123" s="42"/>
      <c r="I123" s="42"/>
      <c r="J123" s="42"/>
      <c r="K123" s="42"/>
      <c r="L123" s="42"/>
      <c r="M123" s="42"/>
    </row>
    <row r="124">
      <c r="A124" s="44"/>
      <c r="B124" s="40"/>
      <c r="C124" s="41"/>
      <c r="D124" s="41"/>
      <c r="E124" s="41"/>
      <c r="G124" s="42"/>
      <c r="H124" s="42"/>
      <c r="I124" s="42"/>
      <c r="J124" s="42"/>
      <c r="K124" s="42"/>
      <c r="L124" s="42"/>
      <c r="M124" s="42"/>
    </row>
    <row r="125">
      <c r="A125" s="44"/>
      <c r="B125" s="40"/>
      <c r="C125" s="41"/>
      <c r="D125" s="41"/>
      <c r="E125" s="41"/>
      <c r="G125" s="42"/>
      <c r="H125" s="42"/>
      <c r="I125" s="42"/>
      <c r="J125" s="42"/>
      <c r="K125" s="42"/>
      <c r="L125" s="42"/>
      <c r="M125" s="42"/>
    </row>
    <row r="126">
      <c r="A126" s="44"/>
      <c r="B126" s="40"/>
      <c r="C126" s="41"/>
      <c r="D126" s="41"/>
      <c r="E126" s="41"/>
      <c r="G126" s="42"/>
      <c r="H126" s="42"/>
      <c r="I126" s="42"/>
      <c r="J126" s="42"/>
      <c r="K126" s="42"/>
      <c r="L126" s="42"/>
      <c r="M126" s="42"/>
    </row>
    <row r="127">
      <c r="A127" s="44"/>
      <c r="B127" s="40"/>
      <c r="C127" s="41"/>
      <c r="D127" s="41"/>
      <c r="E127" s="41"/>
      <c r="G127" s="42"/>
      <c r="H127" s="42"/>
      <c r="I127" s="42"/>
      <c r="J127" s="42"/>
      <c r="K127" s="42"/>
      <c r="L127" s="42"/>
      <c r="M127" s="42"/>
    </row>
    <row r="128">
      <c r="A128" s="44"/>
      <c r="B128" s="40"/>
      <c r="C128" s="41"/>
      <c r="D128" s="41"/>
      <c r="E128" s="41"/>
      <c r="G128" s="42"/>
      <c r="H128" s="42"/>
      <c r="I128" s="42"/>
      <c r="J128" s="42"/>
      <c r="K128" s="42"/>
      <c r="L128" s="42"/>
      <c r="M128" s="42"/>
    </row>
    <row r="129">
      <c r="A129" s="44"/>
      <c r="B129" s="40"/>
      <c r="C129" s="41"/>
      <c r="D129" s="41"/>
      <c r="E129" s="41"/>
      <c r="G129" s="42"/>
      <c r="H129" s="42"/>
      <c r="I129" s="42"/>
      <c r="J129" s="42"/>
      <c r="K129" s="42"/>
      <c r="L129" s="42"/>
      <c r="M129" s="42"/>
    </row>
    <row r="130">
      <c r="A130" s="44"/>
      <c r="B130" s="40"/>
      <c r="C130" s="41"/>
      <c r="D130" s="41"/>
      <c r="E130" s="41"/>
      <c r="G130" s="42"/>
      <c r="H130" s="42"/>
      <c r="I130" s="42"/>
      <c r="J130" s="42"/>
      <c r="K130" s="42"/>
      <c r="L130" s="42"/>
      <c r="M130" s="42"/>
    </row>
    <row r="131">
      <c r="A131" s="44"/>
      <c r="B131" s="40"/>
      <c r="C131" s="41"/>
      <c r="D131" s="41"/>
      <c r="E131" s="41"/>
      <c r="G131" s="42"/>
      <c r="H131" s="42"/>
      <c r="I131" s="42"/>
      <c r="J131" s="42"/>
      <c r="K131" s="42"/>
      <c r="L131" s="42"/>
      <c r="M131" s="42"/>
    </row>
    <row r="132">
      <c r="A132" s="44"/>
      <c r="B132" s="40"/>
      <c r="C132" s="41"/>
      <c r="D132" s="41"/>
      <c r="E132" s="41"/>
      <c r="G132" s="42"/>
      <c r="H132" s="42"/>
      <c r="I132" s="42"/>
      <c r="J132" s="42"/>
      <c r="K132" s="42"/>
      <c r="L132" s="42"/>
      <c r="M132" s="42"/>
    </row>
    <row r="133">
      <c r="A133" s="44"/>
      <c r="B133" s="40"/>
      <c r="C133" s="41"/>
      <c r="D133" s="41"/>
      <c r="E133" s="41"/>
      <c r="G133" s="42"/>
      <c r="H133" s="42"/>
      <c r="I133" s="42"/>
      <c r="J133" s="42"/>
      <c r="K133" s="42"/>
      <c r="L133" s="42"/>
      <c r="M133" s="42"/>
    </row>
    <row r="134">
      <c r="A134" s="44"/>
      <c r="B134" s="40"/>
      <c r="C134" s="41"/>
      <c r="D134" s="41"/>
      <c r="E134" s="41"/>
      <c r="G134" s="42"/>
      <c r="H134" s="42"/>
      <c r="I134" s="42"/>
      <c r="J134" s="42"/>
      <c r="K134" s="42"/>
      <c r="L134" s="42"/>
      <c r="M134" s="42"/>
    </row>
    <row r="135">
      <c r="A135" s="44"/>
      <c r="B135" s="40"/>
      <c r="C135" s="41"/>
      <c r="D135" s="41"/>
      <c r="E135" s="41"/>
      <c r="G135" s="42"/>
      <c r="H135" s="42"/>
      <c r="I135" s="42"/>
      <c r="J135" s="42"/>
      <c r="K135" s="42"/>
      <c r="L135" s="42"/>
      <c r="M135" s="42"/>
    </row>
    <row r="136">
      <c r="A136" s="44"/>
      <c r="B136" s="40"/>
      <c r="C136" s="41"/>
      <c r="D136" s="41"/>
      <c r="E136" s="41"/>
      <c r="G136" s="42"/>
      <c r="H136" s="42"/>
      <c r="I136" s="42"/>
      <c r="J136" s="42"/>
      <c r="K136" s="42"/>
      <c r="L136" s="42"/>
      <c r="M136" s="42"/>
    </row>
    <row r="137">
      <c r="A137" s="44"/>
      <c r="B137" s="40"/>
      <c r="C137" s="41"/>
      <c r="D137" s="41"/>
      <c r="E137" s="41"/>
      <c r="G137" s="42"/>
      <c r="H137" s="42"/>
      <c r="I137" s="42"/>
      <c r="J137" s="42"/>
      <c r="K137" s="42"/>
      <c r="L137" s="42"/>
      <c r="M137" s="42"/>
    </row>
    <row r="138">
      <c r="A138" s="44"/>
      <c r="B138" s="40"/>
      <c r="C138" s="41"/>
      <c r="D138" s="41"/>
      <c r="E138" s="41"/>
      <c r="G138" s="42"/>
      <c r="H138" s="42"/>
      <c r="I138" s="42"/>
      <c r="J138" s="42"/>
      <c r="K138" s="42"/>
      <c r="L138" s="42"/>
      <c r="M138" s="42"/>
    </row>
    <row r="139">
      <c r="A139" s="44"/>
      <c r="B139" s="40"/>
      <c r="C139" s="41"/>
      <c r="D139" s="41"/>
      <c r="E139" s="41"/>
      <c r="G139" s="42"/>
      <c r="H139" s="42"/>
      <c r="I139" s="42"/>
      <c r="J139" s="42"/>
      <c r="K139" s="42"/>
      <c r="L139" s="42"/>
      <c r="M139" s="42"/>
    </row>
    <row r="140">
      <c r="A140" s="44"/>
      <c r="B140" s="40"/>
      <c r="C140" s="41"/>
      <c r="D140" s="41"/>
      <c r="E140" s="41"/>
      <c r="G140" s="42"/>
      <c r="H140" s="42"/>
      <c r="I140" s="42"/>
      <c r="J140" s="42"/>
      <c r="K140" s="42"/>
      <c r="L140" s="42"/>
      <c r="M140" s="42"/>
    </row>
    <row r="141">
      <c r="A141" s="44"/>
      <c r="B141" s="40"/>
      <c r="C141" s="41"/>
      <c r="D141" s="41"/>
      <c r="E141" s="41"/>
      <c r="G141" s="42"/>
      <c r="H141" s="42"/>
      <c r="I141" s="42"/>
      <c r="J141" s="42"/>
      <c r="K141" s="42"/>
      <c r="L141" s="42"/>
      <c r="M141" s="42"/>
    </row>
    <row r="142">
      <c r="A142" s="44"/>
      <c r="B142" s="40"/>
      <c r="C142" s="41"/>
      <c r="D142" s="41"/>
      <c r="E142" s="41"/>
      <c r="G142" s="42"/>
      <c r="H142" s="42"/>
      <c r="I142" s="42"/>
      <c r="J142" s="42"/>
      <c r="K142" s="42"/>
      <c r="L142" s="42"/>
      <c r="M142" s="42"/>
    </row>
    <row r="143">
      <c r="A143" s="44"/>
      <c r="B143" s="40"/>
      <c r="C143" s="41"/>
      <c r="D143" s="41"/>
      <c r="E143" s="41"/>
      <c r="G143" s="42"/>
      <c r="H143" s="42"/>
      <c r="I143" s="42"/>
      <c r="J143" s="42"/>
      <c r="K143" s="42"/>
      <c r="L143" s="42"/>
      <c r="M143" s="42"/>
    </row>
    <row r="144">
      <c r="A144" s="44"/>
      <c r="B144" s="40"/>
      <c r="C144" s="41"/>
      <c r="D144" s="41"/>
      <c r="E144" s="41"/>
      <c r="G144" s="42"/>
      <c r="H144" s="42"/>
      <c r="I144" s="42"/>
      <c r="J144" s="42"/>
      <c r="K144" s="42"/>
      <c r="L144" s="42"/>
      <c r="M144" s="42"/>
    </row>
    <row r="145">
      <c r="A145" s="44"/>
      <c r="B145" s="40"/>
      <c r="C145" s="41"/>
      <c r="D145" s="41"/>
      <c r="E145" s="41"/>
      <c r="G145" s="42"/>
      <c r="H145" s="42"/>
      <c r="I145" s="42"/>
      <c r="J145" s="42"/>
      <c r="K145" s="42"/>
      <c r="L145" s="42"/>
      <c r="M145" s="42"/>
    </row>
    <row r="146">
      <c r="A146" s="44"/>
      <c r="B146" s="40"/>
      <c r="C146" s="41"/>
      <c r="D146" s="41"/>
      <c r="E146" s="41"/>
      <c r="G146" s="42"/>
      <c r="H146" s="42"/>
      <c r="I146" s="42"/>
      <c r="J146" s="42"/>
      <c r="K146" s="42"/>
      <c r="L146" s="42"/>
      <c r="M146" s="42"/>
    </row>
    <row r="147">
      <c r="A147" s="44"/>
      <c r="B147" s="40"/>
      <c r="C147" s="41"/>
      <c r="D147" s="41"/>
      <c r="E147" s="41"/>
      <c r="G147" s="42"/>
      <c r="H147" s="42"/>
      <c r="I147" s="42"/>
      <c r="J147" s="42"/>
      <c r="K147" s="42"/>
      <c r="L147" s="42"/>
      <c r="M147" s="42"/>
    </row>
    <row r="148">
      <c r="A148" s="44"/>
      <c r="B148" s="40"/>
      <c r="C148" s="41"/>
      <c r="D148" s="41"/>
      <c r="E148" s="41"/>
      <c r="G148" s="42"/>
      <c r="H148" s="42"/>
      <c r="I148" s="42"/>
      <c r="J148" s="42"/>
      <c r="K148" s="42"/>
      <c r="L148" s="42"/>
      <c r="M148" s="42"/>
    </row>
  </sheetData>
  <autoFilter ref="$A$31:$D$121"/>
  <mergeCells count="4">
    <mergeCell ref="A1:H2"/>
    <mergeCell ref="A4:D4"/>
    <mergeCell ref="G4:H4"/>
    <mergeCell ref="J4:M4"/>
  </mergeCells>
  <conditionalFormatting sqref="D6:E16">
    <cfRule type="cellIs" dxfId="0" priority="1" operator="greaterThan">
      <formula>0</formula>
    </cfRule>
  </conditionalFormatting>
  <conditionalFormatting sqref="D6:D15 E6:E16">
    <cfRule type="cellIs" dxfId="1" priority="2" operator="lessThan">
      <formula>0</formula>
    </cfRule>
  </conditionalFormatting>
  <dataValidations>
    <dataValidation type="list" allowBlank="1" sqref="B20:B148">
      <formula1>'Hidden list and Figures'!$A$3:$A$15</formula1>
    </dataValidation>
    <dataValidation type="custom" allowBlank="1" showDropDown="1" showInputMessage="1" prompt="Select a date" sqref="A32:A148">
      <formula1>OR(NOT(ISERROR(DATEVALUE(A32))), AND(ISNUMBER(A32), LEFT(CELL("format", A32))="D"))</formula1>
    </dataValidation>
  </dataValidations>
  <hyperlinks>
    <hyperlink r:id="rId1" ref="D8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sumif($B$20:$C$127,A6,$C$20:$C$127)</f>
        <v>2710.12</v>
      </c>
      <c r="D6" s="17">
        <f t="shared" ref="D6:D15" si="2">B6-C6</f>
        <v>-46.44</v>
      </c>
      <c r="E6" s="18">
        <f t="shared" ref="E6:E16" si="3">D6/B6</f>
        <v>-0.01743452667</v>
      </c>
      <c r="G6" s="19" t="s">
        <v>11</v>
      </c>
      <c r="H6" s="14">
        <f>'MartinRachel Pay Stub'!B20*2</f>
        <v>3851.86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14">
        <f>'MartinRachel Pay Stub'!E20*2</f>
        <v>5429.1</v>
      </c>
    </row>
    <row r="8">
      <c r="A8" s="21" t="s">
        <v>14</v>
      </c>
      <c r="B8" s="22">
        <v>250.0</v>
      </c>
      <c r="C8" s="22">
        <f t="shared" si="1"/>
        <v>0</v>
      </c>
      <c r="D8" s="23">
        <f t="shared" si="2"/>
        <v>250</v>
      </c>
      <c r="E8" s="18">
        <f t="shared" si="3"/>
        <v>1</v>
      </c>
      <c r="H8" s="14"/>
    </row>
    <row r="9">
      <c r="A9" s="24" t="s">
        <v>15</v>
      </c>
      <c r="B9" s="22">
        <v>400.0</v>
      </c>
      <c r="C9" s="22">
        <f t="shared" si="1"/>
        <v>802.61</v>
      </c>
      <c r="D9" s="23">
        <f t="shared" si="2"/>
        <v>-402.61</v>
      </c>
      <c r="E9" s="18">
        <f t="shared" si="3"/>
        <v>-1.006525</v>
      </c>
      <c r="G9" s="13" t="s">
        <v>16</v>
      </c>
      <c r="H9" s="14"/>
    </row>
    <row r="10">
      <c r="A10" s="24" t="s">
        <v>17</v>
      </c>
      <c r="B10" s="22">
        <v>400.0</v>
      </c>
      <c r="C10" s="22">
        <f t="shared" si="1"/>
        <v>843.17</v>
      </c>
      <c r="D10" s="23">
        <f t="shared" si="2"/>
        <v>-443.17</v>
      </c>
      <c r="E10" s="18">
        <f t="shared" si="3"/>
        <v>-1.107925</v>
      </c>
      <c r="G10" s="19" t="s">
        <v>18</v>
      </c>
      <c r="H10" s="14">
        <f>sum(C16)</f>
        <v>7536.32</v>
      </c>
    </row>
    <row r="11">
      <c r="A11" s="22" t="s">
        <v>19</v>
      </c>
      <c r="B11" s="22">
        <v>200.0</v>
      </c>
      <c r="C11" s="22">
        <f t="shared" si="1"/>
        <v>488.22</v>
      </c>
      <c r="D11" s="23">
        <f t="shared" si="2"/>
        <v>-288.22</v>
      </c>
      <c r="E11" s="18">
        <f t="shared" si="3"/>
        <v>-1.4411</v>
      </c>
      <c r="H11" s="14"/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G12" s="13" t="s">
        <v>21</v>
      </c>
      <c r="H12" s="14"/>
    </row>
    <row r="13">
      <c r="A13" s="25" t="s">
        <v>22</v>
      </c>
      <c r="B13" s="22">
        <v>200.0</v>
      </c>
      <c r="C13" s="22">
        <f t="shared" ref="C13:C15" si="4">sumif($B$20:$C$127,A13,$C$20:$C$127)</f>
        <v>42.68</v>
      </c>
      <c r="D13" s="23">
        <f t="shared" si="2"/>
        <v>157.32</v>
      </c>
      <c r="E13" s="18">
        <f t="shared" si="3"/>
        <v>0.7866</v>
      </c>
      <c r="G13" s="19" t="s">
        <v>23</v>
      </c>
      <c r="H13" s="14"/>
    </row>
    <row r="14">
      <c r="A14" s="26" t="s">
        <v>24</v>
      </c>
      <c r="B14" s="27">
        <v>0.0</v>
      </c>
      <c r="C14" s="22">
        <f t="shared" si="4"/>
        <v>14.45</v>
      </c>
      <c r="D14" s="23">
        <f t="shared" si="2"/>
        <v>-14.45</v>
      </c>
      <c r="E14" s="18" t="str">
        <f t="shared" si="3"/>
        <v>#DIV/0!</v>
      </c>
      <c r="H14" s="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2135.07</v>
      </c>
      <c r="D15" s="28">
        <f t="shared" si="2"/>
        <v>-1835.07</v>
      </c>
      <c r="E15" s="18">
        <f t="shared" si="3"/>
        <v>-6.1169</v>
      </c>
      <c r="G15" s="13" t="s">
        <v>26</v>
      </c>
      <c r="H15" s="47">
        <f>SUMIF($B$20:$C$149,"Travel",$C$20:$C$149)</f>
        <v>21</v>
      </c>
      <c r="I15" s="6"/>
      <c r="J15" s="6"/>
      <c r="K15" s="6"/>
      <c r="L15" s="6"/>
      <c r="M15" s="6"/>
    </row>
    <row r="16">
      <c r="A16" s="30" t="s">
        <v>27</v>
      </c>
      <c r="B16" s="31">
        <f t="shared" ref="B16:D16" si="5">SUM(B6:B15)</f>
        <v>4913.68</v>
      </c>
      <c r="C16" s="31">
        <f t="shared" si="5"/>
        <v>7536.32</v>
      </c>
      <c r="D16" s="31">
        <f t="shared" si="5"/>
        <v>-2622.64</v>
      </c>
      <c r="E16" s="18">
        <f t="shared" si="3"/>
        <v>-0.5337425311</v>
      </c>
      <c r="F16" s="32"/>
      <c r="G16" s="13" t="s">
        <v>28</v>
      </c>
      <c r="H16" s="33">
        <f>500-SUMIF($B$20:$C$149,"Travel",$C$20:$C$149)+'Nov 2023'!H16</f>
        <v>-135.34</v>
      </c>
      <c r="I16" s="34"/>
      <c r="J16" s="34"/>
      <c r="K16" s="34"/>
      <c r="L16" s="34"/>
      <c r="M16" s="34"/>
    </row>
    <row r="17">
      <c r="A17" s="35"/>
      <c r="B17" s="36"/>
      <c r="C17" s="36"/>
      <c r="D17" s="37"/>
      <c r="E17" s="37"/>
      <c r="F17" s="36"/>
      <c r="G17" s="35"/>
      <c r="H17" s="35"/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2060.0</v>
      </c>
      <c r="D20" s="41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55.0</v>
      </c>
      <c r="D21" s="41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81.55</v>
      </c>
      <c r="D22" s="41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156.0</v>
      </c>
      <c r="D23" s="41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9.86</v>
      </c>
      <c r="D24" s="41" t="s">
        <v>38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1133.34/6</f>
        <v>188.89</v>
      </c>
      <c r="D25" s="41" t="s">
        <v>23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2.87</v>
      </c>
      <c r="D26" s="41" t="s">
        <v>39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1.99</v>
      </c>
      <c r="D27" s="41" t="s">
        <v>40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5.83</v>
      </c>
      <c r="D28" s="41" t="s">
        <v>41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148.13</v>
      </c>
      <c r="D29" s="41" t="s">
        <v>42</v>
      </c>
      <c r="E29" s="41"/>
      <c r="G29" s="42"/>
      <c r="H29" s="42"/>
      <c r="I29" s="42"/>
      <c r="J29" s="42"/>
      <c r="K29" s="42"/>
      <c r="L29" s="42"/>
      <c r="M29" s="42"/>
    </row>
    <row r="30">
      <c r="A30" s="43"/>
      <c r="B30" s="40"/>
      <c r="C30" s="41"/>
      <c r="D30" s="41"/>
      <c r="E30" s="41"/>
      <c r="G30" s="42"/>
      <c r="H30" s="42"/>
      <c r="I30" s="42"/>
      <c r="J30" s="42"/>
      <c r="K30" s="42"/>
      <c r="L30" s="42"/>
      <c r="M30" s="42"/>
    </row>
    <row r="31">
      <c r="A31" s="43"/>
      <c r="B31" s="40"/>
      <c r="C31" s="41"/>
      <c r="D31" s="41"/>
      <c r="E31" s="41"/>
      <c r="G31" s="42"/>
      <c r="H31" s="42"/>
      <c r="I31" s="42"/>
      <c r="J31" s="42"/>
      <c r="K31" s="42"/>
      <c r="L31" s="42"/>
      <c r="M31" s="42"/>
    </row>
    <row r="32">
      <c r="A32" s="44">
        <v>45270.0</v>
      </c>
      <c r="B32" s="40" t="s">
        <v>15</v>
      </c>
      <c r="C32" s="41">
        <v>145.69</v>
      </c>
      <c r="D32" s="41" t="s">
        <v>47</v>
      </c>
      <c r="G32" s="42"/>
      <c r="H32" s="42"/>
      <c r="I32" s="42"/>
      <c r="J32" s="42"/>
      <c r="K32" s="42"/>
      <c r="L32" s="42"/>
      <c r="M32" s="42"/>
    </row>
    <row r="33">
      <c r="A33" s="44">
        <v>45262.0</v>
      </c>
      <c r="B33" s="40" t="s">
        <v>15</v>
      </c>
      <c r="C33" s="41">
        <v>183.25</v>
      </c>
      <c r="D33" s="41" t="s">
        <v>47</v>
      </c>
      <c r="G33" s="42"/>
      <c r="H33" s="42"/>
      <c r="I33" s="42"/>
      <c r="J33" s="42"/>
      <c r="K33" s="42"/>
      <c r="L33" s="42"/>
      <c r="M33" s="42"/>
    </row>
    <row r="34">
      <c r="A34" s="44">
        <v>45268.0</v>
      </c>
      <c r="B34" s="40" t="s">
        <v>25</v>
      </c>
      <c r="C34" s="41">
        <v>8.55</v>
      </c>
      <c r="D34" s="41" t="s">
        <v>427</v>
      </c>
      <c r="G34" s="42"/>
      <c r="H34" s="42"/>
      <c r="I34" s="42"/>
      <c r="J34" s="42"/>
      <c r="K34" s="42"/>
      <c r="L34" s="42"/>
      <c r="M34" s="42"/>
    </row>
    <row r="35">
      <c r="A35" s="44">
        <v>45262.0</v>
      </c>
      <c r="B35" s="40" t="s">
        <v>15</v>
      </c>
      <c r="C35" s="41">
        <v>30.55</v>
      </c>
      <c r="D35" s="41" t="s">
        <v>131</v>
      </c>
      <c r="G35" s="42"/>
      <c r="H35" s="42"/>
      <c r="I35" s="42"/>
      <c r="J35" s="42"/>
      <c r="K35" s="42"/>
      <c r="L35" s="42"/>
      <c r="M35" s="42"/>
    </row>
    <row r="36">
      <c r="A36" s="44">
        <v>45270.0</v>
      </c>
      <c r="B36" s="40" t="s">
        <v>25</v>
      </c>
      <c r="C36" s="41">
        <v>113.68</v>
      </c>
      <c r="D36" s="41" t="s">
        <v>428</v>
      </c>
      <c r="G36" s="42"/>
      <c r="H36" s="42"/>
      <c r="I36" s="42"/>
      <c r="J36" s="42"/>
      <c r="K36" s="42"/>
      <c r="L36" s="42"/>
      <c r="M36" s="42"/>
    </row>
    <row r="37">
      <c r="A37" s="44">
        <v>45269.0</v>
      </c>
      <c r="B37" s="40" t="s">
        <v>25</v>
      </c>
      <c r="C37" s="41">
        <v>19.37</v>
      </c>
      <c r="D37" s="41" t="s">
        <v>429</v>
      </c>
      <c r="G37" s="42"/>
      <c r="H37" s="42"/>
      <c r="I37" s="42"/>
      <c r="J37" s="42"/>
      <c r="K37" s="42"/>
      <c r="L37" s="42"/>
      <c r="M37" s="42"/>
    </row>
    <row r="38">
      <c r="A38" s="44">
        <v>45268.0</v>
      </c>
      <c r="B38" s="40" t="s">
        <v>17</v>
      </c>
      <c r="C38" s="41">
        <v>24.01</v>
      </c>
      <c r="D38" s="41" t="s">
        <v>430</v>
      </c>
      <c r="G38" s="42"/>
      <c r="H38" s="42"/>
      <c r="I38" s="42"/>
      <c r="J38" s="42"/>
      <c r="K38" s="42"/>
      <c r="L38" s="42"/>
      <c r="M38" s="42"/>
    </row>
    <row r="39">
      <c r="A39" s="48">
        <v>45269.0</v>
      </c>
      <c r="B39" s="40" t="s">
        <v>17</v>
      </c>
      <c r="C39" s="41">
        <v>40.86</v>
      </c>
      <c r="D39" s="41" t="s">
        <v>431</v>
      </c>
      <c r="G39" s="42"/>
      <c r="H39" s="42"/>
      <c r="I39" s="42"/>
      <c r="J39" s="42"/>
      <c r="K39" s="42"/>
      <c r="L39" s="42"/>
      <c r="M39" s="42"/>
    </row>
    <row r="40">
      <c r="A40" s="44">
        <v>45270.0</v>
      </c>
      <c r="B40" s="40" t="s">
        <v>17</v>
      </c>
      <c r="C40" s="41">
        <v>18.0</v>
      </c>
      <c r="D40" s="41" t="s">
        <v>61</v>
      </c>
      <c r="G40" s="42"/>
      <c r="H40" s="42"/>
      <c r="I40" s="42"/>
      <c r="J40" s="42"/>
      <c r="K40" s="42"/>
      <c r="L40" s="42"/>
      <c r="M40" s="42"/>
    </row>
    <row r="41">
      <c r="A41" s="44">
        <v>45270.0</v>
      </c>
      <c r="B41" s="40" t="s">
        <v>25</v>
      </c>
      <c r="C41" s="41">
        <v>1923.7</v>
      </c>
      <c r="D41" s="41" t="s">
        <v>432</v>
      </c>
      <c r="G41" s="42"/>
      <c r="H41" s="42"/>
      <c r="I41" s="42"/>
      <c r="J41" s="42"/>
      <c r="K41" s="42"/>
      <c r="L41" s="42"/>
      <c r="M41" s="42"/>
    </row>
    <row r="42">
      <c r="A42" s="44">
        <v>45270.0</v>
      </c>
      <c r="B42" s="40" t="s">
        <v>25</v>
      </c>
      <c r="C42" s="41"/>
      <c r="D42" s="41" t="s">
        <v>433</v>
      </c>
      <c r="G42" s="42"/>
      <c r="H42" s="42"/>
      <c r="I42" s="42"/>
      <c r="J42" s="42"/>
      <c r="K42" s="42"/>
      <c r="L42" s="42"/>
      <c r="M42" s="42"/>
    </row>
    <row r="43">
      <c r="A43" s="44">
        <v>45262.0</v>
      </c>
      <c r="B43" s="40" t="s">
        <v>17</v>
      </c>
      <c r="C43" s="41">
        <f>25.95*2/3</f>
        <v>17.3</v>
      </c>
      <c r="D43" s="41" t="s">
        <v>434</v>
      </c>
      <c r="G43" s="42"/>
      <c r="H43" s="42"/>
      <c r="I43" s="42"/>
      <c r="J43" s="42"/>
      <c r="K43" s="42"/>
      <c r="L43" s="42"/>
      <c r="M43" s="42"/>
    </row>
    <row r="44">
      <c r="A44" s="44">
        <v>45268.0</v>
      </c>
      <c r="B44" s="40" t="s">
        <v>19</v>
      </c>
      <c r="C44" s="41">
        <v>207.0</v>
      </c>
      <c r="D44" s="41" t="s">
        <v>435</v>
      </c>
      <c r="G44" s="42"/>
      <c r="H44" s="42"/>
      <c r="I44" s="42"/>
      <c r="J44" s="42"/>
      <c r="K44" s="42"/>
      <c r="L44" s="42"/>
      <c r="M44" s="42"/>
    </row>
    <row r="45">
      <c r="A45" s="44">
        <v>45266.0</v>
      </c>
      <c r="B45" s="40" t="s">
        <v>24</v>
      </c>
      <c r="C45" s="41">
        <v>14.45</v>
      </c>
      <c r="D45" s="41" t="s">
        <v>436</v>
      </c>
      <c r="G45" s="42"/>
      <c r="H45" s="42"/>
      <c r="I45" s="42"/>
      <c r="J45" s="42"/>
      <c r="K45" s="42"/>
      <c r="L45" s="42"/>
      <c r="M45" s="42"/>
    </row>
    <row r="46">
      <c r="A46" s="44">
        <v>45262.0</v>
      </c>
      <c r="B46" s="40" t="s">
        <v>17</v>
      </c>
      <c r="C46" s="41">
        <f>65-18</f>
        <v>47</v>
      </c>
      <c r="D46" s="41" t="s">
        <v>437</v>
      </c>
      <c r="G46" s="42"/>
      <c r="H46" s="42"/>
      <c r="I46" s="42"/>
      <c r="J46" s="42"/>
      <c r="K46" s="42"/>
      <c r="L46" s="42"/>
      <c r="M46" s="42"/>
    </row>
    <row r="47">
      <c r="A47" s="44">
        <v>45262.0</v>
      </c>
      <c r="B47" s="40" t="s">
        <v>19</v>
      </c>
      <c r="C47" s="41">
        <v>-25.0</v>
      </c>
      <c r="D47" s="41" t="s">
        <v>438</v>
      </c>
      <c r="G47" s="42"/>
      <c r="H47" s="42"/>
      <c r="I47" s="42"/>
      <c r="J47" s="42"/>
      <c r="K47" s="42"/>
      <c r="L47" s="42"/>
      <c r="M47" s="42"/>
    </row>
    <row r="48">
      <c r="A48" s="44">
        <v>45653.0</v>
      </c>
      <c r="B48" s="40" t="s">
        <v>19</v>
      </c>
      <c r="C48" s="41">
        <v>22.56</v>
      </c>
      <c r="D48" s="41" t="s">
        <v>439</v>
      </c>
      <c r="E48" s="90"/>
      <c r="G48" s="42"/>
      <c r="H48" s="42"/>
      <c r="I48" s="42"/>
      <c r="J48" s="42"/>
      <c r="K48" s="42"/>
      <c r="L48" s="42"/>
      <c r="M48" s="42"/>
    </row>
    <row r="49">
      <c r="A49" s="44">
        <v>45653.0</v>
      </c>
      <c r="B49" s="40" t="s">
        <v>19</v>
      </c>
      <c r="C49" s="41">
        <v>8.0</v>
      </c>
      <c r="D49" s="41" t="s">
        <v>346</v>
      </c>
      <c r="E49" s="90"/>
      <c r="G49" s="42"/>
      <c r="H49" s="42"/>
      <c r="I49" s="42"/>
      <c r="J49" s="42"/>
      <c r="K49" s="42"/>
      <c r="L49" s="42"/>
      <c r="M49" s="42"/>
    </row>
    <row r="50">
      <c r="A50" s="44">
        <v>45647.0</v>
      </c>
      <c r="B50" s="40" t="s">
        <v>19</v>
      </c>
      <c r="C50" s="41">
        <v>12.97</v>
      </c>
      <c r="D50" s="41" t="s">
        <v>440</v>
      </c>
      <c r="E50" s="90"/>
      <c r="G50" s="42"/>
      <c r="H50" s="42"/>
      <c r="I50" s="42"/>
      <c r="J50" s="42"/>
      <c r="K50" s="42"/>
      <c r="L50" s="42"/>
      <c r="M50" s="42"/>
    </row>
    <row r="51">
      <c r="A51" s="44">
        <v>45637.0</v>
      </c>
      <c r="B51" s="40" t="s">
        <v>15</v>
      </c>
      <c r="C51" s="41">
        <v>17.42</v>
      </c>
      <c r="D51" s="41" t="s">
        <v>64</v>
      </c>
      <c r="E51" s="90"/>
      <c r="G51" s="42"/>
      <c r="H51" s="42"/>
      <c r="I51" s="42"/>
      <c r="J51" s="42"/>
      <c r="K51" s="42"/>
      <c r="L51" s="42"/>
      <c r="M51" s="42"/>
    </row>
    <row r="52">
      <c r="A52" s="44">
        <v>45651.0</v>
      </c>
      <c r="B52" s="40" t="s">
        <v>19</v>
      </c>
      <c r="C52" s="41">
        <v>48.6</v>
      </c>
      <c r="D52" s="41" t="s">
        <v>441</v>
      </c>
      <c r="E52" s="41"/>
      <c r="G52" s="42"/>
      <c r="H52" s="42"/>
      <c r="I52" s="42"/>
      <c r="J52" s="42"/>
      <c r="K52" s="42"/>
      <c r="L52" s="42"/>
      <c r="M52" s="42"/>
    </row>
    <row r="53">
      <c r="A53" s="44">
        <v>45645.0</v>
      </c>
      <c r="B53" s="40" t="s">
        <v>19</v>
      </c>
      <c r="C53" s="41">
        <v>30.0</v>
      </c>
      <c r="D53" s="41" t="s">
        <v>442</v>
      </c>
      <c r="E53" s="41"/>
      <c r="G53" s="42"/>
      <c r="H53" s="42"/>
      <c r="I53" s="42"/>
      <c r="J53" s="42"/>
      <c r="K53" s="42"/>
      <c r="L53" s="42"/>
      <c r="M53" s="42"/>
    </row>
    <row r="54">
      <c r="A54" s="44">
        <v>45644.0</v>
      </c>
      <c r="B54" s="40" t="s">
        <v>17</v>
      </c>
      <c r="C54" s="41">
        <v>25.0</v>
      </c>
      <c r="D54" s="41" t="s">
        <v>443</v>
      </c>
      <c r="E54" s="41"/>
      <c r="G54" s="42"/>
      <c r="H54" s="42"/>
      <c r="I54" s="42"/>
      <c r="J54" s="42"/>
      <c r="K54" s="42"/>
      <c r="L54" s="42"/>
      <c r="M54" s="42"/>
    </row>
    <row r="55">
      <c r="A55" s="44">
        <v>45643.0</v>
      </c>
      <c r="B55" s="40" t="s">
        <v>17</v>
      </c>
      <c r="C55" s="41">
        <v>8.66</v>
      </c>
      <c r="D55" s="41" t="s">
        <v>444</v>
      </c>
      <c r="E55" s="41"/>
      <c r="G55" s="42"/>
      <c r="H55" s="42"/>
      <c r="I55" s="42"/>
      <c r="J55" s="42"/>
      <c r="K55" s="42"/>
      <c r="L55" s="42"/>
      <c r="M55" s="42"/>
    </row>
    <row r="56">
      <c r="A56" s="44">
        <v>45643.0</v>
      </c>
      <c r="B56" s="40" t="s">
        <v>17</v>
      </c>
      <c r="C56" s="41">
        <v>2.16</v>
      </c>
      <c r="D56" s="41" t="s">
        <v>445</v>
      </c>
      <c r="E56" s="41"/>
      <c r="G56" s="42"/>
      <c r="H56" s="42"/>
      <c r="I56" s="42"/>
      <c r="J56" s="42"/>
      <c r="K56" s="42"/>
      <c r="L56" s="42"/>
      <c r="M56" s="42"/>
    </row>
    <row r="57">
      <c r="A57" s="44">
        <v>45641.0</v>
      </c>
      <c r="B57" s="40" t="s">
        <v>19</v>
      </c>
      <c r="C57" s="41">
        <v>120.07</v>
      </c>
      <c r="D57" s="41" t="s">
        <v>446</v>
      </c>
      <c r="E57" s="41"/>
      <c r="G57" s="42"/>
      <c r="H57" s="42"/>
      <c r="I57" s="42"/>
      <c r="J57" s="42"/>
      <c r="K57" s="42"/>
      <c r="L57" s="42"/>
      <c r="M57" s="42"/>
    </row>
    <row r="58">
      <c r="A58" s="44">
        <v>45641.0</v>
      </c>
      <c r="B58" s="40" t="s">
        <v>15</v>
      </c>
      <c r="C58" s="41">
        <v>68.42</v>
      </c>
      <c r="D58" s="41" t="s">
        <v>47</v>
      </c>
      <c r="E58" s="41"/>
      <c r="G58" s="42"/>
      <c r="H58" s="42"/>
      <c r="I58" s="42"/>
      <c r="J58" s="42"/>
      <c r="K58" s="42"/>
      <c r="L58" s="42"/>
      <c r="M58" s="42"/>
    </row>
    <row r="59">
      <c r="A59" s="44">
        <v>45639.0</v>
      </c>
      <c r="B59" s="40" t="s">
        <v>22</v>
      </c>
      <c r="C59" s="41">
        <v>42.68</v>
      </c>
      <c r="D59" s="41" t="s">
        <v>22</v>
      </c>
      <c r="E59" s="41"/>
      <c r="G59" s="42"/>
      <c r="H59" s="42"/>
      <c r="I59" s="42"/>
      <c r="J59" s="42"/>
      <c r="K59" s="42"/>
      <c r="L59" s="42"/>
      <c r="M59" s="42"/>
    </row>
    <row r="60">
      <c r="A60" s="48">
        <v>45653.0</v>
      </c>
      <c r="B60" s="40" t="s">
        <v>15</v>
      </c>
      <c r="C60" s="41">
        <v>55.81</v>
      </c>
      <c r="D60" s="41" t="s">
        <v>47</v>
      </c>
      <c r="E60" s="41"/>
      <c r="G60" s="42"/>
      <c r="H60" s="42"/>
      <c r="I60" s="42"/>
      <c r="J60" s="42"/>
      <c r="K60" s="42"/>
      <c r="L60" s="42"/>
      <c r="M60" s="42"/>
    </row>
    <row r="61">
      <c r="A61" s="44">
        <v>45655.0</v>
      </c>
      <c r="B61" s="40" t="s">
        <v>17</v>
      </c>
      <c r="C61" s="41">
        <v>43.48</v>
      </c>
      <c r="D61" s="41" t="s">
        <v>447</v>
      </c>
      <c r="E61" s="41"/>
      <c r="G61" s="42"/>
      <c r="H61" s="42"/>
      <c r="I61" s="42"/>
      <c r="J61" s="42"/>
      <c r="K61" s="42"/>
      <c r="L61" s="42"/>
      <c r="M61" s="42"/>
    </row>
    <row r="62">
      <c r="A62" s="44">
        <v>45652.0</v>
      </c>
      <c r="B62" s="40" t="s">
        <v>15</v>
      </c>
      <c r="C62" s="41">
        <v>29.98</v>
      </c>
      <c r="D62" s="41" t="s">
        <v>448</v>
      </c>
      <c r="E62" s="41"/>
      <c r="G62" s="42"/>
      <c r="H62" s="42"/>
      <c r="I62" s="42"/>
      <c r="J62" s="42"/>
      <c r="K62" s="42"/>
      <c r="L62" s="42"/>
      <c r="M62" s="42"/>
    </row>
    <row r="63">
      <c r="A63" s="44">
        <v>45657.0</v>
      </c>
      <c r="B63" s="40" t="s">
        <v>79</v>
      </c>
      <c r="C63" s="41">
        <v>21.0</v>
      </c>
      <c r="D63" s="41" t="s">
        <v>119</v>
      </c>
      <c r="E63" s="41"/>
      <c r="G63" s="42"/>
      <c r="H63" s="42"/>
      <c r="I63" s="42"/>
      <c r="J63" s="42"/>
      <c r="K63" s="42"/>
      <c r="L63" s="42"/>
      <c r="M63" s="42"/>
    </row>
    <row r="64">
      <c r="A64" s="44">
        <v>45657.0</v>
      </c>
      <c r="B64" s="40" t="s">
        <v>25</v>
      </c>
      <c r="C64" s="41">
        <v>21.0</v>
      </c>
      <c r="D64" s="41" t="s">
        <v>119</v>
      </c>
      <c r="E64" s="41"/>
      <c r="G64" s="42"/>
      <c r="H64" s="42"/>
      <c r="I64" s="42"/>
      <c r="J64" s="42"/>
      <c r="K64" s="42"/>
      <c r="L64" s="42"/>
      <c r="M64" s="42"/>
    </row>
    <row r="65">
      <c r="A65" s="44">
        <v>45288.0</v>
      </c>
      <c r="B65" s="40" t="s">
        <v>17</v>
      </c>
      <c r="C65" s="41">
        <v>93.69</v>
      </c>
      <c r="D65" s="41" t="s">
        <v>449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45284.0</v>
      </c>
      <c r="B66" s="40" t="s">
        <v>17</v>
      </c>
      <c r="C66" s="41">
        <v>176.75</v>
      </c>
      <c r="D66" s="41" t="s">
        <v>450</v>
      </c>
      <c r="E66" s="41"/>
      <c r="G66" s="42"/>
      <c r="H66" s="42"/>
      <c r="I66" s="42"/>
      <c r="J66" s="42"/>
      <c r="K66" s="42"/>
      <c r="L66" s="42"/>
      <c r="M66" s="42"/>
    </row>
    <row r="67">
      <c r="A67" s="44">
        <v>45283.0</v>
      </c>
      <c r="B67" s="40" t="s">
        <v>17</v>
      </c>
      <c r="C67" s="41">
        <v>8.53</v>
      </c>
      <c r="D67" s="41" t="s">
        <v>451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45276.0</v>
      </c>
      <c r="B68" s="40" t="s">
        <v>19</v>
      </c>
      <c r="C68" s="41">
        <v>44.65</v>
      </c>
      <c r="D68" s="41" t="s">
        <v>98</v>
      </c>
      <c r="E68" s="41"/>
      <c r="G68" s="42"/>
      <c r="H68" s="42"/>
      <c r="I68" s="42"/>
      <c r="J68" s="42"/>
      <c r="K68" s="42"/>
      <c r="L68" s="42"/>
      <c r="M68" s="42"/>
    </row>
    <row r="69">
      <c r="A69" s="44">
        <v>45275.0</v>
      </c>
      <c r="B69" s="40" t="s">
        <v>17</v>
      </c>
      <c r="C69" s="41">
        <v>38.83</v>
      </c>
      <c r="D69" s="41" t="s">
        <v>437</v>
      </c>
      <c r="E69" s="41"/>
      <c r="G69" s="42"/>
      <c r="H69" s="42"/>
      <c r="I69" s="42"/>
      <c r="J69" s="42"/>
      <c r="K69" s="42"/>
      <c r="L69" s="42"/>
      <c r="M69" s="42"/>
    </row>
    <row r="70">
      <c r="A70" s="44">
        <v>45271.0</v>
      </c>
      <c r="B70" s="40" t="s">
        <v>19</v>
      </c>
      <c r="C70" s="41">
        <v>19.37</v>
      </c>
      <c r="D70" s="41" t="s">
        <v>452</v>
      </c>
      <c r="E70" s="41"/>
      <c r="G70" s="42"/>
      <c r="H70" s="42"/>
      <c r="I70" s="42"/>
      <c r="J70" s="42"/>
      <c r="K70" s="42"/>
      <c r="L70" s="42"/>
      <c r="M70" s="42"/>
    </row>
    <row r="71">
      <c r="A71" s="44">
        <v>45273.0</v>
      </c>
      <c r="B71" s="40" t="s">
        <v>25</v>
      </c>
      <c r="C71" s="41">
        <v>10.0</v>
      </c>
      <c r="D71" s="41" t="s">
        <v>142</v>
      </c>
      <c r="E71" s="41"/>
      <c r="G71" s="42"/>
      <c r="H71" s="42"/>
      <c r="I71" s="42"/>
      <c r="J71" s="42"/>
      <c r="K71" s="42"/>
      <c r="L71" s="42"/>
      <c r="M71" s="42"/>
    </row>
    <row r="72">
      <c r="A72" s="44">
        <v>45287.0</v>
      </c>
      <c r="B72" s="40" t="s">
        <v>25</v>
      </c>
      <c r="C72" s="41">
        <v>33.77</v>
      </c>
      <c r="D72" s="41" t="s">
        <v>453</v>
      </c>
      <c r="E72" s="41"/>
      <c r="G72" s="42"/>
      <c r="H72" s="42"/>
      <c r="I72" s="42"/>
      <c r="J72" s="42"/>
      <c r="K72" s="42"/>
      <c r="L72" s="42"/>
      <c r="M72" s="42"/>
    </row>
    <row r="73">
      <c r="A73" s="44">
        <v>45287.0</v>
      </c>
      <c r="B73" s="40" t="s">
        <v>17</v>
      </c>
      <c r="C73" s="41">
        <v>7.0</v>
      </c>
      <c r="D73" s="41" t="s">
        <v>454</v>
      </c>
      <c r="E73" s="41"/>
      <c r="G73" s="42"/>
      <c r="H73" s="42"/>
      <c r="I73" s="42"/>
      <c r="J73" s="42"/>
      <c r="K73" s="42"/>
      <c r="L73" s="42"/>
      <c r="M73" s="42"/>
    </row>
    <row r="74">
      <c r="A74" s="44">
        <v>45285.0</v>
      </c>
      <c r="B74" s="40" t="s">
        <v>15</v>
      </c>
      <c r="C74" s="41">
        <v>114.0</v>
      </c>
      <c r="D74" s="41" t="s">
        <v>131</v>
      </c>
      <c r="E74" s="41"/>
      <c r="G74" s="42"/>
      <c r="H74" s="42"/>
      <c r="I74" s="42"/>
      <c r="J74" s="42"/>
      <c r="K74" s="42"/>
      <c r="L74" s="42"/>
      <c r="M74" s="42"/>
    </row>
    <row r="75">
      <c r="A75" s="44">
        <v>45283.0</v>
      </c>
      <c r="B75" s="40" t="s">
        <v>17</v>
      </c>
      <c r="C75" s="41">
        <v>18.49</v>
      </c>
      <c r="D75" s="41" t="s">
        <v>455</v>
      </c>
      <c r="E75" s="41"/>
      <c r="G75" s="42"/>
      <c r="H75" s="42"/>
      <c r="I75" s="42"/>
      <c r="J75" s="42"/>
      <c r="K75" s="42"/>
      <c r="L75" s="42"/>
      <c r="M75" s="42"/>
    </row>
    <row r="76">
      <c r="A76" s="44">
        <v>45277.0</v>
      </c>
      <c r="B76" s="40" t="s">
        <v>17</v>
      </c>
      <c r="C76" s="41">
        <v>142.36</v>
      </c>
      <c r="D76" s="41" t="s">
        <v>456</v>
      </c>
      <c r="E76" s="41"/>
      <c r="G76" s="42"/>
      <c r="H76" s="42"/>
      <c r="I76" s="42"/>
      <c r="J76" s="42"/>
      <c r="K76" s="42"/>
      <c r="L76" s="42"/>
      <c r="M76" s="42"/>
    </row>
    <row r="77">
      <c r="A77" s="44">
        <v>45279.0</v>
      </c>
      <c r="B77" s="40" t="s">
        <v>25</v>
      </c>
      <c r="C77" s="41">
        <v>5.0</v>
      </c>
      <c r="D77" s="41" t="s">
        <v>457</v>
      </c>
      <c r="E77" s="41"/>
      <c r="G77" s="42"/>
      <c r="H77" s="42"/>
      <c r="I77" s="42"/>
      <c r="J77" s="42"/>
      <c r="K77" s="42"/>
      <c r="L77" s="42"/>
      <c r="M77" s="42"/>
    </row>
    <row r="78">
      <c r="A78" s="44">
        <v>45290.0</v>
      </c>
      <c r="B78" s="40" t="s">
        <v>17</v>
      </c>
      <c r="C78" s="41">
        <v>131.05</v>
      </c>
      <c r="D78" s="41" t="s">
        <v>369</v>
      </c>
      <c r="E78" s="41"/>
      <c r="G78" s="42"/>
      <c r="H78" s="42"/>
      <c r="I78" s="42"/>
      <c r="J78" s="42"/>
      <c r="K78" s="42"/>
      <c r="L78" s="42"/>
      <c r="M78" s="42"/>
    </row>
    <row r="79">
      <c r="A79" s="44">
        <v>45290.0</v>
      </c>
      <c r="B79" s="40" t="s">
        <v>15</v>
      </c>
      <c r="C79" s="41">
        <v>66.49</v>
      </c>
      <c r="D79" s="41" t="s">
        <v>458</v>
      </c>
      <c r="E79" s="41"/>
      <c r="G79" s="42"/>
      <c r="H79" s="42"/>
      <c r="I79" s="42"/>
      <c r="J79" s="42"/>
      <c r="K79" s="42"/>
      <c r="L79" s="42"/>
      <c r="M79" s="42"/>
    </row>
    <row r="80">
      <c r="A80" s="44">
        <v>45290.0</v>
      </c>
      <c r="B80" s="40" t="s">
        <v>15</v>
      </c>
      <c r="C80" s="41">
        <v>91.0</v>
      </c>
      <c r="D80" s="41" t="s">
        <v>131</v>
      </c>
      <c r="E80" s="41"/>
      <c r="G80" s="42"/>
      <c r="H80" s="42"/>
      <c r="I80" s="42"/>
      <c r="J80" s="42"/>
      <c r="K80" s="42"/>
      <c r="L80" s="42"/>
      <c r="M80" s="42"/>
    </row>
    <row r="81">
      <c r="A81" s="44"/>
      <c r="B81" s="40"/>
      <c r="C81" s="41"/>
      <c r="D81" s="41"/>
      <c r="E81" s="41"/>
      <c r="G81" s="42"/>
      <c r="H81" s="42"/>
      <c r="I81" s="42"/>
      <c r="J81" s="42"/>
      <c r="K81" s="42"/>
      <c r="L81" s="42"/>
      <c r="M81" s="42"/>
    </row>
    <row r="82">
      <c r="A82" s="44"/>
      <c r="B82" s="40"/>
      <c r="C82" s="41"/>
      <c r="D82" s="41"/>
      <c r="E82" s="41"/>
      <c r="G82" s="42"/>
      <c r="H82" s="42"/>
      <c r="I82" s="42"/>
      <c r="J82" s="42"/>
      <c r="K82" s="42"/>
      <c r="L82" s="42"/>
      <c r="M82" s="42"/>
    </row>
    <row r="83">
      <c r="A83" s="44"/>
      <c r="B83" s="40"/>
      <c r="C83" s="41"/>
      <c r="D83" s="41"/>
      <c r="E83" s="41"/>
      <c r="G83" s="42"/>
      <c r="H83" s="42"/>
      <c r="I83" s="42"/>
      <c r="J83" s="42"/>
      <c r="K83" s="42"/>
      <c r="L83" s="42"/>
      <c r="M83" s="42"/>
    </row>
    <row r="84">
      <c r="A84" s="44"/>
      <c r="B84" s="40"/>
      <c r="C84" s="41"/>
      <c r="D84" s="41"/>
      <c r="E84" s="41"/>
      <c r="G84" s="42"/>
      <c r="H84" s="42"/>
      <c r="I84" s="42"/>
      <c r="J84" s="42"/>
      <c r="K84" s="42"/>
      <c r="L84" s="42"/>
      <c r="M84" s="42"/>
    </row>
    <row r="85">
      <c r="A85" s="44"/>
      <c r="B85" s="40"/>
      <c r="C85" s="41"/>
      <c r="D85" s="41"/>
      <c r="E85" s="41"/>
      <c r="G85" s="42"/>
      <c r="H85" s="42"/>
      <c r="I85" s="42"/>
      <c r="J85" s="42"/>
      <c r="K85" s="42"/>
      <c r="L85" s="42"/>
      <c r="M85" s="42"/>
    </row>
    <row r="86">
      <c r="A86" s="44"/>
      <c r="B86" s="40"/>
      <c r="C86" s="41"/>
      <c r="D86" s="41"/>
      <c r="E86" s="41"/>
      <c r="G86" s="42"/>
      <c r="H86" s="42"/>
      <c r="I86" s="42"/>
      <c r="J86" s="42"/>
      <c r="K86" s="42"/>
      <c r="L86" s="42"/>
      <c r="M86" s="42"/>
    </row>
    <row r="87">
      <c r="A87" s="44"/>
      <c r="B87" s="40"/>
      <c r="C87" s="41"/>
      <c r="D87" s="41"/>
      <c r="E87" s="41"/>
      <c r="G87" s="42"/>
      <c r="H87" s="42"/>
      <c r="I87" s="42"/>
      <c r="J87" s="42"/>
      <c r="K87" s="42"/>
      <c r="L87" s="42"/>
      <c r="M87" s="42"/>
    </row>
    <row r="88">
      <c r="A88" s="44"/>
      <c r="B88" s="40"/>
      <c r="C88" s="41"/>
      <c r="D88" s="41"/>
      <c r="E88" s="41"/>
      <c r="G88" s="42"/>
      <c r="H88" s="42"/>
      <c r="I88" s="42"/>
      <c r="J88" s="42"/>
      <c r="K88" s="42"/>
      <c r="L88" s="42"/>
      <c r="M88" s="42"/>
    </row>
    <row r="89">
      <c r="A89" s="44"/>
      <c r="B89" s="40"/>
      <c r="C89" s="41"/>
      <c r="D89" s="41"/>
      <c r="E89" s="41"/>
      <c r="G89" s="42"/>
      <c r="H89" s="42"/>
      <c r="I89" s="42"/>
      <c r="J89" s="42"/>
      <c r="K89" s="42"/>
      <c r="L89" s="42"/>
      <c r="M89" s="42"/>
    </row>
    <row r="90">
      <c r="A90" s="44"/>
      <c r="B90" s="40"/>
      <c r="C90" s="41"/>
      <c r="D90" s="41"/>
      <c r="E90" s="41"/>
      <c r="G90" s="42"/>
      <c r="H90" s="42"/>
      <c r="I90" s="42"/>
      <c r="J90" s="42"/>
      <c r="K90" s="42"/>
      <c r="L90" s="42"/>
      <c r="M90" s="42"/>
    </row>
    <row r="91">
      <c r="A91" s="44"/>
      <c r="B91" s="40"/>
      <c r="C91" s="41"/>
      <c r="D91" s="41"/>
      <c r="E91" s="41"/>
      <c r="G91" s="42"/>
      <c r="H91" s="42"/>
      <c r="I91" s="42"/>
      <c r="J91" s="42"/>
      <c r="K91" s="42"/>
      <c r="L91" s="42"/>
      <c r="M91" s="42"/>
    </row>
    <row r="92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  <row r="102">
      <c r="A102" s="44"/>
      <c r="B102" s="40"/>
      <c r="C102" s="41"/>
      <c r="D102" s="41"/>
      <c r="E102" s="41"/>
      <c r="G102" s="42"/>
      <c r="H102" s="42"/>
      <c r="I102" s="42"/>
      <c r="J102" s="42"/>
      <c r="K102" s="42"/>
      <c r="L102" s="42"/>
      <c r="M102" s="42"/>
    </row>
    <row r="103">
      <c r="A103" s="44"/>
      <c r="B103" s="40"/>
      <c r="C103" s="41"/>
      <c r="D103" s="41"/>
      <c r="E103" s="41"/>
      <c r="G103" s="42"/>
      <c r="H103" s="42"/>
      <c r="I103" s="42"/>
      <c r="J103" s="42"/>
      <c r="K103" s="42"/>
      <c r="L103" s="42"/>
      <c r="M103" s="42"/>
    </row>
    <row r="104">
      <c r="A104" s="44"/>
      <c r="B104" s="40"/>
      <c r="C104" s="41"/>
      <c r="D104" s="41"/>
      <c r="E104" s="41"/>
      <c r="G104" s="42"/>
      <c r="H104" s="42"/>
      <c r="I104" s="42"/>
      <c r="J104" s="42"/>
      <c r="K104" s="42"/>
      <c r="L104" s="42"/>
      <c r="M104" s="42"/>
    </row>
    <row r="105">
      <c r="A105" s="44"/>
      <c r="B105" s="40"/>
      <c r="C105" s="41"/>
      <c r="D105" s="41"/>
      <c r="E105" s="41"/>
      <c r="G105" s="42"/>
      <c r="H105" s="42"/>
      <c r="I105" s="42"/>
      <c r="J105" s="42"/>
      <c r="K105" s="42"/>
      <c r="L105" s="42"/>
      <c r="M105" s="42"/>
    </row>
    <row r="106">
      <c r="A106" s="44"/>
      <c r="B106" s="40"/>
      <c r="C106" s="41"/>
      <c r="D106" s="41"/>
      <c r="E106" s="41"/>
      <c r="G106" s="42"/>
      <c r="H106" s="42"/>
      <c r="I106" s="42"/>
      <c r="J106" s="42"/>
      <c r="K106" s="42"/>
      <c r="L106" s="42"/>
      <c r="M106" s="42"/>
    </row>
    <row r="107">
      <c r="A107" s="44"/>
      <c r="B107" s="40"/>
      <c r="C107" s="41"/>
      <c r="D107" s="41"/>
      <c r="E107" s="41"/>
      <c r="G107" s="42"/>
      <c r="H107" s="42"/>
      <c r="I107" s="42"/>
      <c r="J107" s="42"/>
      <c r="K107" s="42"/>
      <c r="L107" s="42"/>
      <c r="M107" s="42"/>
    </row>
    <row r="108">
      <c r="A108" s="44"/>
      <c r="B108" s="40"/>
      <c r="C108" s="41"/>
      <c r="D108" s="41"/>
      <c r="E108" s="41"/>
      <c r="G108" s="42"/>
      <c r="H108" s="42"/>
      <c r="I108" s="42"/>
      <c r="J108" s="42"/>
      <c r="K108" s="42"/>
      <c r="L108" s="42"/>
      <c r="M108" s="42"/>
    </row>
    <row r="109">
      <c r="A109" s="44"/>
      <c r="B109" s="40"/>
      <c r="C109" s="41"/>
      <c r="D109" s="41"/>
      <c r="E109" s="41"/>
      <c r="G109" s="42"/>
      <c r="H109" s="42"/>
      <c r="I109" s="42"/>
      <c r="J109" s="42"/>
      <c r="K109" s="42"/>
      <c r="L109" s="42"/>
      <c r="M109" s="42"/>
    </row>
    <row r="110">
      <c r="A110" s="44"/>
      <c r="B110" s="40"/>
      <c r="C110" s="41"/>
      <c r="D110" s="41"/>
      <c r="E110" s="41"/>
      <c r="G110" s="42"/>
      <c r="H110" s="42"/>
      <c r="I110" s="42"/>
      <c r="J110" s="42"/>
      <c r="K110" s="42"/>
      <c r="L110" s="42"/>
      <c r="M110" s="42"/>
    </row>
    <row r="111">
      <c r="A111" s="44"/>
      <c r="B111" s="40"/>
      <c r="C111" s="41"/>
      <c r="D111" s="41"/>
      <c r="E111" s="41"/>
      <c r="G111" s="42"/>
      <c r="H111" s="42"/>
      <c r="I111" s="42"/>
      <c r="J111" s="42"/>
      <c r="K111" s="42"/>
      <c r="L111" s="42"/>
      <c r="M111" s="42"/>
    </row>
    <row r="112">
      <c r="A112" s="44"/>
      <c r="B112" s="40"/>
      <c r="C112" s="41"/>
      <c r="D112" s="41"/>
      <c r="E112" s="41"/>
      <c r="G112" s="42"/>
      <c r="H112" s="42"/>
      <c r="I112" s="42"/>
      <c r="J112" s="42"/>
      <c r="K112" s="42"/>
      <c r="L112" s="42"/>
      <c r="M112" s="42"/>
    </row>
    <row r="113">
      <c r="A113" s="44"/>
      <c r="B113" s="40"/>
      <c r="C113" s="41"/>
      <c r="D113" s="41"/>
      <c r="E113" s="41"/>
      <c r="G113" s="42"/>
      <c r="H113" s="42"/>
      <c r="I113" s="42"/>
      <c r="J113" s="42"/>
      <c r="K113" s="42"/>
      <c r="L113" s="42"/>
      <c r="M113" s="42"/>
    </row>
    <row r="114">
      <c r="A114" s="44"/>
      <c r="B114" s="40"/>
      <c r="C114" s="41"/>
      <c r="D114" s="41"/>
      <c r="E114" s="41"/>
      <c r="G114" s="42"/>
      <c r="H114" s="42"/>
      <c r="I114" s="42"/>
      <c r="J114" s="42"/>
      <c r="K114" s="42"/>
      <c r="L114" s="42"/>
      <c r="M114" s="42"/>
    </row>
    <row r="115">
      <c r="A115" s="44"/>
      <c r="B115" s="40"/>
      <c r="C115" s="41"/>
      <c r="D115" s="41"/>
      <c r="E115" s="41"/>
      <c r="G115" s="42"/>
      <c r="H115" s="42"/>
      <c r="I115" s="42"/>
      <c r="J115" s="42"/>
      <c r="K115" s="42"/>
      <c r="L115" s="42"/>
      <c r="M115" s="42"/>
    </row>
    <row r="116">
      <c r="A116" s="44"/>
      <c r="B116" s="40"/>
      <c r="C116" s="41"/>
      <c r="D116" s="41"/>
      <c r="E116" s="41"/>
      <c r="G116" s="42"/>
      <c r="H116" s="42"/>
      <c r="I116" s="42"/>
      <c r="J116" s="42"/>
      <c r="K116" s="42"/>
      <c r="L116" s="42"/>
      <c r="M116" s="42"/>
    </row>
    <row r="117">
      <c r="A117" s="44"/>
      <c r="B117" s="40"/>
      <c r="C117" s="41"/>
      <c r="D117" s="41"/>
      <c r="E117" s="41"/>
      <c r="G117" s="42"/>
      <c r="H117" s="42"/>
      <c r="I117" s="42"/>
      <c r="J117" s="42"/>
      <c r="K117" s="42"/>
      <c r="L117" s="42"/>
      <c r="M117" s="42"/>
    </row>
    <row r="118">
      <c r="A118" s="44"/>
      <c r="B118" s="40"/>
      <c r="C118" s="41"/>
      <c r="D118" s="41"/>
      <c r="E118" s="41"/>
      <c r="G118" s="42"/>
      <c r="H118" s="42"/>
      <c r="I118" s="42"/>
      <c r="J118" s="42"/>
      <c r="K118" s="42"/>
      <c r="L118" s="42"/>
      <c r="M118" s="42"/>
    </row>
    <row r="119">
      <c r="A119" s="44"/>
      <c r="B119" s="40"/>
      <c r="C119" s="41"/>
      <c r="D119" s="41"/>
      <c r="E119" s="41"/>
      <c r="G119" s="42"/>
      <c r="H119" s="42"/>
      <c r="I119" s="42"/>
      <c r="J119" s="42"/>
      <c r="K119" s="42"/>
      <c r="L119" s="42"/>
      <c r="M119" s="42"/>
    </row>
    <row r="120">
      <c r="A120" s="44"/>
      <c r="B120" s="40"/>
      <c r="C120" s="41"/>
      <c r="D120" s="41"/>
      <c r="E120" s="41"/>
      <c r="G120" s="42"/>
      <c r="H120" s="42"/>
      <c r="I120" s="42"/>
      <c r="J120" s="42"/>
      <c r="K120" s="42"/>
      <c r="L120" s="42"/>
      <c r="M120" s="42"/>
    </row>
    <row r="121">
      <c r="A121" s="44"/>
      <c r="B121" s="40"/>
      <c r="C121" s="41"/>
      <c r="D121" s="41"/>
      <c r="E121" s="41"/>
      <c r="G121" s="42"/>
      <c r="H121" s="42"/>
      <c r="I121" s="42"/>
      <c r="J121" s="42"/>
      <c r="K121" s="42"/>
      <c r="L121" s="42"/>
      <c r="M121" s="42"/>
    </row>
    <row r="122">
      <c r="A122" s="44"/>
      <c r="B122" s="40"/>
      <c r="C122" s="41"/>
      <c r="D122" s="41"/>
      <c r="E122" s="41"/>
      <c r="G122" s="42"/>
      <c r="H122" s="42"/>
      <c r="I122" s="42"/>
      <c r="J122" s="42"/>
      <c r="K122" s="42"/>
      <c r="L122" s="42"/>
      <c r="M122" s="42"/>
    </row>
    <row r="123">
      <c r="A123" s="44"/>
      <c r="B123" s="40"/>
      <c r="C123" s="41"/>
      <c r="D123" s="41"/>
      <c r="E123" s="41"/>
      <c r="G123" s="42"/>
      <c r="H123" s="42"/>
      <c r="I123" s="42"/>
      <c r="J123" s="42"/>
      <c r="K123" s="42"/>
      <c r="L123" s="42"/>
      <c r="M123" s="42"/>
    </row>
    <row r="124">
      <c r="A124" s="44"/>
      <c r="B124" s="40"/>
      <c r="C124" s="41"/>
      <c r="D124" s="41"/>
      <c r="E124" s="41"/>
      <c r="G124" s="42"/>
      <c r="H124" s="42"/>
      <c r="I124" s="42"/>
      <c r="J124" s="42"/>
      <c r="K124" s="42"/>
      <c r="L124" s="42"/>
      <c r="M124" s="42"/>
    </row>
    <row r="125">
      <c r="A125" s="44"/>
      <c r="B125" s="40"/>
      <c r="C125" s="41"/>
      <c r="D125" s="41"/>
      <c r="E125" s="41"/>
      <c r="G125" s="42"/>
      <c r="H125" s="42"/>
      <c r="I125" s="42"/>
      <c r="J125" s="42"/>
      <c r="K125" s="42"/>
      <c r="L125" s="42"/>
      <c r="M125" s="42"/>
    </row>
    <row r="126">
      <c r="A126" s="44"/>
      <c r="B126" s="40"/>
      <c r="C126" s="41"/>
      <c r="D126" s="41"/>
      <c r="E126" s="41"/>
      <c r="G126" s="42"/>
      <c r="H126" s="42"/>
      <c r="I126" s="42"/>
      <c r="J126" s="42"/>
      <c r="K126" s="42"/>
      <c r="L126" s="42"/>
      <c r="M126" s="42"/>
    </row>
    <row r="127">
      <c r="A127" s="44"/>
      <c r="B127" s="40"/>
      <c r="C127" s="41"/>
      <c r="D127" s="41"/>
      <c r="E127" s="41"/>
      <c r="G127" s="42"/>
      <c r="H127" s="42"/>
      <c r="I127" s="42"/>
      <c r="J127" s="42"/>
      <c r="K127" s="42"/>
      <c r="L127" s="42"/>
      <c r="M127" s="42"/>
    </row>
  </sheetData>
  <autoFilter ref="$A$31:$D$108"/>
  <mergeCells count="4">
    <mergeCell ref="A1:H2"/>
    <mergeCell ref="A4:D4"/>
    <mergeCell ref="G4:H4"/>
    <mergeCell ref="J4:M4"/>
  </mergeCells>
  <conditionalFormatting sqref="D6:E16">
    <cfRule type="cellIs" dxfId="0" priority="1" operator="greaterThan">
      <formula>0</formula>
    </cfRule>
  </conditionalFormatting>
  <conditionalFormatting sqref="D6:D15 E6:E16">
    <cfRule type="cellIs" dxfId="1" priority="2" operator="lessThan">
      <formula>0</formula>
    </cfRule>
  </conditionalFormatting>
  <dataValidations>
    <dataValidation type="list" allowBlank="1" sqref="B20:B127">
      <formula1>'Hidden list and Figures'!$A$3:$A$15</formula1>
    </dataValidation>
    <dataValidation type="custom" allowBlank="1" showDropDown="1" showInputMessage="1" prompt="Select a date" sqref="A32:A127">
      <formula1>OR(NOT(ISERROR(DATEVALUE(A32))), AND(ISNUMBER(A32), LEFT(CELL("format", A32))="D"))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sumif($B$20:$C$100,A6,$C$20:$C$100)</f>
        <v>2660.12</v>
      </c>
      <c r="D6" s="17">
        <f t="shared" ref="D6:D15" si="2">B6-C6</f>
        <v>3.56</v>
      </c>
      <c r="E6" s="18">
        <f t="shared" ref="E6:E16" si="3">D6/B6</f>
        <v>0.001336496877</v>
      </c>
      <c r="G6" s="19" t="s">
        <v>11</v>
      </c>
      <c r="H6" s="14">
        <f>1473*2</f>
        <v>2946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14">
        <f>'MartinRachel Pay Stub'!E20*2</f>
        <v>5429.1</v>
      </c>
    </row>
    <row r="8">
      <c r="A8" s="21" t="s">
        <v>14</v>
      </c>
      <c r="B8" s="22">
        <v>250.0</v>
      </c>
      <c r="C8" s="22">
        <f t="shared" si="1"/>
        <v>1991.45</v>
      </c>
      <c r="D8" s="23">
        <f t="shared" si="2"/>
        <v>-1741.45</v>
      </c>
      <c r="E8" s="18">
        <f t="shared" si="3"/>
        <v>-6.9658</v>
      </c>
      <c r="H8" s="14"/>
    </row>
    <row r="9">
      <c r="A9" s="24" t="s">
        <v>15</v>
      </c>
      <c r="B9" s="22">
        <v>400.0</v>
      </c>
      <c r="C9" s="22">
        <f t="shared" si="1"/>
        <v>650.42</v>
      </c>
      <c r="D9" s="23">
        <f t="shared" si="2"/>
        <v>-250.42</v>
      </c>
      <c r="E9" s="18">
        <f t="shared" si="3"/>
        <v>-0.62605</v>
      </c>
      <c r="G9" s="13" t="s">
        <v>16</v>
      </c>
      <c r="H9" s="14"/>
    </row>
    <row r="10">
      <c r="A10" s="24" t="s">
        <v>17</v>
      </c>
      <c r="B10" s="22">
        <v>400.0</v>
      </c>
      <c r="C10" s="22">
        <f t="shared" si="1"/>
        <v>390.16</v>
      </c>
      <c r="D10" s="23">
        <f t="shared" si="2"/>
        <v>9.84</v>
      </c>
      <c r="E10" s="18">
        <f t="shared" si="3"/>
        <v>0.0246</v>
      </c>
      <c r="G10" s="19" t="s">
        <v>18</v>
      </c>
      <c r="H10" s="14">
        <f>sum(C16)</f>
        <v>7230.99</v>
      </c>
    </row>
    <row r="11">
      <c r="A11" s="22" t="s">
        <v>19</v>
      </c>
      <c r="B11" s="22">
        <v>200.0</v>
      </c>
      <c r="C11" s="22">
        <f t="shared" si="1"/>
        <v>597.65</v>
      </c>
      <c r="D11" s="23">
        <f t="shared" si="2"/>
        <v>-397.65</v>
      </c>
      <c r="E11" s="18">
        <f t="shared" si="3"/>
        <v>-1.98825</v>
      </c>
      <c r="H11" s="14"/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G12" s="13" t="s">
        <v>21</v>
      </c>
      <c r="H12" s="14"/>
    </row>
    <row r="13">
      <c r="A13" s="25" t="s">
        <v>22</v>
      </c>
      <c r="B13" s="22">
        <v>200.0</v>
      </c>
      <c r="C13" s="22">
        <f t="shared" ref="C13:C15" si="4">sumif($B$20:$C$100,A13,$C$20:$C$100)</f>
        <v>64.19</v>
      </c>
      <c r="D13" s="23">
        <f t="shared" si="2"/>
        <v>135.81</v>
      </c>
      <c r="E13" s="18">
        <f t="shared" si="3"/>
        <v>0.67905</v>
      </c>
      <c r="G13" s="19" t="s">
        <v>23</v>
      </c>
      <c r="H13" s="14"/>
    </row>
    <row r="14">
      <c r="A14" s="26" t="s">
        <v>24</v>
      </c>
      <c r="B14" s="27">
        <v>0.0</v>
      </c>
      <c r="C14" s="22">
        <f t="shared" si="4"/>
        <v>112</v>
      </c>
      <c r="D14" s="23">
        <f t="shared" si="2"/>
        <v>-112</v>
      </c>
      <c r="E14" s="18" t="str">
        <f t="shared" si="3"/>
        <v>#DIV/0!</v>
      </c>
      <c r="H14" s="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265</v>
      </c>
      <c r="D15" s="28">
        <f t="shared" si="2"/>
        <v>35</v>
      </c>
      <c r="E15" s="18">
        <f t="shared" si="3"/>
        <v>0.1166666667</v>
      </c>
      <c r="G15" s="13" t="s">
        <v>26</v>
      </c>
      <c r="H15" s="47">
        <f>SUMIF($B$20:$C$122,"Travel",$C$20:$C$122)</f>
        <v>440</v>
      </c>
      <c r="I15" s="6"/>
      <c r="J15" s="6"/>
      <c r="K15" s="6"/>
      <c r="L15" s="6"/>
      <c r="M15" s="6"/>
    </row>
    <row r="16">
      <c r="A16" s="30" t="s">
        <v>27</v>
      </c>
      <c r="B16" s="31">
        <f t="shared" ref="B16:D16" si="5">SUM(B6:B15)</f>
        <v>4913.68</v>
      </c>
      <c r="C16" s="31">
        <f t="shared" si="5"/>
        <v>7230.99</v>
      </c>
      <c r="D16" s="31">
        <f t="shared" si="5"/>
        <v>-2317.31</v>
      </c>
      <c r="E16" s="18">
        <f t="shared" si="3"/>
        <v>-0.4716037674</v>
      </c>
      <c r="F16" s="32"/>
      <c r="G16" s="13" t="s">
        <v>28</v>
      </c>
      <c r="H16" s="33">
        <f>500-SUMIF($B$20:$C$122,"Travel",$C$20:$C$122)+'Dec 2023'!H16</f>
        <v>-75.34</v>
      </c>
      <c r="I16" s="34"/>
      <c r="J16" s="34"/>
      <c r="K16" s="34"/>
      <c r="L16" s="34"/>
      <c r="M16" s="34"/>
    </row>
    <row r="17">
      <c r="A17" s="35"/>
      <c r="B17" s="36"/>
      <c r="C17" s="36"/>
      <c r="D17" s="37"/>
      <c r="E17" s="37"/>
      <c r="F17" s="36"/>
      <c r="G17" s="35"/>
      <c r="H17" s="35"/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2060.0</v>
      </c>
      <c r="D20" s="41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5.0</v>
      </c>
      <c r="D21" s="41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81.55</v>
      </c>
      <c r="D22" s="41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156.0</v>
      </c>
      <c r="D23" s="41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9.86</v>
      </c>
      <c r="D24" s="41" t="s">
        <v>38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1133.34/6</f>
        <v>188.89</v>
      </c>
      <c r="D25" s="41" t="s">
        <v>23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2.87</v>
      </c>
      <c r="D26" s="41" t="s">
        <v>39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1.99</v>
      </c>
      <c r="D27" s="41" t="s">
        <v>40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5.83</v>
      </c>
      <c r="D28" s="41" t="s">
        <v>41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148.13</v>
      </c>
      <c r="D29" s="41" t="s">
        <v>42</v>
      </c>
      <c r="E29" s="41"/>
      <c r="G29" s="42"/>
      <c r="H29" s="42"/>
      <c r="I29" s="42"/>
      <c r="J29" s="42"/>
      <c r="K29" s="42"/>
      <c r="L29" s="42"/>
      <c r="M29" s="42"/>
    </row>
    <row r="30">
      <c r="A30" s="43"/>
      <c r="B30" s="40"/>
      <c r="C30" s="41"/>
      <c r="D30" s="41"/>
      <c r="E30" s="41"/>
      <c r="G30" s="42"/>
      <c r="H30" s="42"/>
      <c r="I30" s="42"/>
      <c r="J30" s="42"/>
      <c r="K30" s="42"/>
      <c r="L30" s="42"/>
      <c r="M30" s="42"/>
    </row>
    <row r="31">
      <c r="A31" s="43"/>
      <c r="B31" s="40"/>
      <c r="C31" s="41"/>
      <c r="D31" s="41"/>
      <c r="E31" s="41"/>
      <c r="G31" s="42"/>
      <c r="H31" s="42"/>
      <c r="I31" s="42"/>
      <c r="J31" s="42"/>
      <c r="K31" s="42"/>
      <c r="L31" s="42"/>
      <c r="M31" s="42"/>
    </row>
    <row r="32">
      <c r="A32" s="91">
        <v>45304.0</v>
      </c>
      <c r="B32" s="40" t="s">
        <v>19</v>
      </c>
      <c r="C32" s="41">
        <v>295.0</v>
      </c>
      <c r="D32" s="41" t="s">
        <v>459</v>
      </c>
      <c r="G32" s="42"/>
      <c r="H32" s="42"/>
      <c r="I32" s="42"/>
      <c r="J32" s="42"/>
      <c r="K32" s="42"/>
      <c r="L32" s="42"/>
      <c r="M32" s="42"/>
    </row>
    <row r="33">
      <c r="A33" s="44">
        <v>45304.0</v>
      </c>
      <c r="B33" s="40" t="s">
        <v>19</v>
      </c>
      <c r="C33" s="41">
        <v>0.0</v>
      </c>
      <c r="D33" s="41" t="s">
        <v>460</v>
      </c>
      <c r="G33" s="42"/>
      <c r="H33" s="42"/>
      <c r="I33" s="42"/>
      <c r="J33" s="42"/>
      <c r="K33" s="42"/>
      <c r="L33" s="42"/>
      <c r="M33" s="42"/>
    </row>
    <row r="34">
      <c r="A34" s="44">
        <v>45293.0</v>
      </c>
      <c r="B34" s="40" t="s">
        <v>17</v>
      </c>
      <c r="C34" s="41">
        <v>9.73</v>
      </c>
      <c r="D34" s="41" t="s">
        <v>322</v>
      </c>
      <c r="G34" s="42"/>
      <c r="H34" s="42"/>
      <c r="I34" s="42"/>
      <c r="J34" s="42"/>
      <c r="K34" s="42"/>
      <c r="L34" s="42"/>
      <c r="M34" s="42"/>
    </row>
    <row r="35">
      <c r="A35" s="44">
        <v>45298.0</v>
      </c>
      <c r="B35" s="40" t="s">
        <v>15</v>
      </c>
      <c r="C35" s="41">
        <v>14.5</v>
      </c>
      <c r="D35" s="41" t="s">
        <v>461</v>
      </c>
      <c r="G35" s="42"/>
      <c r="H35" s="42"/>
      <c r="I35" s="42"/>
      <c r="J35" s="42"/>
      <c r="K35" s="42"/>
      <c r="L35" s="42"/>
      <c r="M35" s="42"/>
    </row>
    <row r="36">
      <c r="A36" s="44">
        <v>45298.0</v>
      </c>
      <c r="B36" s="40" t="s">
        <v>15</v>
      </c>
      <c r="C36" s="41">
        <v>31.51</v>
      </c>
      <c r="D36" s="41" t="s">
        <v>110</v>
      </c>
      <c r="G36" s="42"/>
      <c r="H36" s="42"/>
      <c r="I36" s="42"/>
      <c r="J36" s="42"/>
      <c r="K36" s="42"/>
      <c r="L36" s="42"/>
      <c r="M36" s="42"/>
    </row>
    <row r="37">
      <c r="A37" s="44">
        <v>45300.0</v>
      </c>
      <c r="B37" s="40" t="s">
        <v>14</v>
      </c>
      <c r="C37" s="41">
        <v>5.95</v>
      </c>
      <c r="D37" s="41" t="s">
        <v>142</v>
      </c>
      <c r="G37" s="42"/>
      <c r="H37" s="42"/>
      <c r="I37" s="42"/>
      <c r="J37" s="42"/>
      <c r="K37" s="42"/>
      <c r="L37" s="42"/>
      <c r="M37" s="42"/>
    </row>
    <row r="38">
      <c r="A38" s="44">
        <v>45297.0</v>
      </c>
      <c r="B38" s="40" t="s">
        <v>17</v>
      </c>
      <c r="C38" s="41">
        <v>17.3</v>
      </c>
      <c r="D38" s="41" t="s">
        <v>462</v>
      </c>
      <c r="G38" s="42"/>
      <c r="H38" s="42"/>
      <c r="I38" s="42"/>
      <c r="J38" s="42"/>
      <c r="K38" s="42"/>
      <c r="L38" s="42"/>
      <c r="M38" s="42"/>
    </row>
    <row r="39">
      <c r="A39" s="48">
        <v>45295.0</v>
      </c>
      <c r="B39" s="40" t="s">
        <v>22</v>
      </c>
      <c r="C39" s="41">
        <v>22.3</v>
      </c>
      <c r="D39" s="41" t="s">
        <v>46</v>
      </c>
      <c r="G39" s="42"/>
      <c r="H39" s="42"/>
      <c r="I39" s="42"/>
      <c r="J39" s="42"/>
      <c r="K39" s="42"/>
      <c r="L39" s="42"/>
      <c r="M39" s="42"/>
    </row>
    <row r="40">
      <c r="A40" s="44">
        <v>45295.0</v>
      </c>
      <c r="B40" s="40" t="s">
        <v>15</v>
      </c>
      <c r="C40" s="41">
        <v>171.37</v>
      </c>
      <c r="D40" s="41" t="s">
        <v>47</v>
      </c>
      <c r="G40" s="42"/>
      <c r="H40" s="42"/>
      <c r="I40" s="42"/>
      <c r="J40" s="42"/>
      <c r="K40" s="42"/>
      <c r="L40" s="42"/>
      <c r="M40" s="42"/>
    </row>
    <row r="41">
      <c r="A41" s="44">
        <v>45295.0</v>
      </c>
      <c r="B41" s="40" t="s">
        <v>17</v>
      </c>
      <c r="C41" s="41">
        <v>7.37</v>
      </c>
      <c r="D41" s="41" t="s">
        <v>47</v>
      </c>
      <c r="G41" s="42"/>
      <c r="H41" s="42"/>
      <c r="I41" s="42"/>
      <c r="J41" s="42"/>
      <c r="K41" s="42"/>
      <c r="L41" s="42"/>
      <c r="M41" s="42"/>
    </row>
    <row r="42">
      <c r="A42" s="44">
        <v>45294.0</v>
      </c>
      <c r="B42" s="40" t="s">
        <v>25</v>
      </c>
      <c r="C42" s="41">
        <v>5.0</v>
      </c>
      <c r="D42" s="41" t="s">
        <v>463</v>
      </c>
      <c r="G42" s="42"/>
      <c r="H42" s="42"/>
      <c r="I42" s="42"/>
      <c r="J42" s="42"/>
      <c r="K42" s="42"/>
      <c r="L42" s="42"/>
      <c r="M42" s="42"/>
    </row>
    <row r="43">
      <c r="A43" s="44">
        <v>45294.0</v>
      </c>
      <c r="B43" s="40" t="s">
        <v>25</v>
      </c>
      <c r="C43" s="41">
        <v>55.0</v>
      </c>
      <c r="D43" s="41" t="s">
        <v>464</v>
      </c>
      <c r="G43" s="42"/>
      <c r="H43" s="42"/>
      <c r="I43" s="42"/>
      <c r="J43" s="42"/>
      <c r="K43" s="42"/>
      <c r="L43" s="42"/>
      <c r="M43" s="42"/>
    </row>
    <row r="44">
      <c r="A44" s="44">
        <v>45292.0</v>
      </c>
      <c r="B44" s="40" t="s">
        <v>14</v>
      </c>
      <c r="C44" s="41">
        <v>1025.0</v>
      </c>
      <c r="D44" s="41" t="s">
        <v>465</v>
      </c>
      <c r="G44" s="42"/>
      <c r="H44" s="42"/>
      <c r="I44" s="42"/>
      <c r="J44" s="42"/>
      <c r="K44" s="42"/>
      <c r="L44" s="42"/>
      <c r="M44" s="42"/>
    </row>
    <row r="45">
      <c r="A45" s="44">
        <v>45305.0</v>
      </c>
      <c r="B45" s="40" t="s">
        <v>22</v>
      </c>
      <c r="C45" s="41">
        <v>41.89</v>
      </c>
      <c r="D45" s="41" t="s">
        <v>54</v>
      </c>
      <c r="G45" s="42"/>
      <c r="H45" s="42"/>
      <c r="I45" s="42"/>
      <c r="J45" s="42"/>
      <c r="K45" s="42"/>
      <c r="L45" s="42"/>
      <c r="M45" s="42"/>
    </row>
    <row r="46">
      <c r="A46" s="44">
        <v>45305.0</v>
      </c>
      <c r="B46" s="40" t="s">
        <v>17</v>
      </c>
      <c r="C46" s="41">
        <v>59.0</v>
      </c>
      <c r="D46" s="41" t="s">
        <v>466</v>
      </c>
      <c r="G46" s="42"/>
      <c r="H46" s="42"/>
      <c r="I46" s="42"/>
      <c r="J46" s="42"/>
      <c r="K46" s="42"/>
      <c r="L46" s="42"/>
      <c r="M46" s="42"/>
    </row>
    <row r="47">
      <c r="A47" s="44">
        <v>45312.0</v>
      </c>
      <c r="B47" s="40" t="s">
        <v>17</v>
      </c>
      <c r="C47" s="41">
        <v>3.0</v>
      </c>
      <c r="D47" s="41" t="s">
        <v>467</v>
      </c>
      <c r="G47" s="42"/>
      <c r="H47" s="42"/>
      <c r="I47" s="42"/>
      <c r="J47" s="42"/>
      <c r="K47" s="42"/>
      <c r="L47" s="42"/>
      <c r="M47" s="42"/>
    </row>
    <row r="48">
      <c r="A48" s="44">
        <v>45307.0</v>
      </c>
      <c r="B48" s="40" t="s">
        <v>17</v>
      </c>
      <c r="C48" s="41">
        <v>62.84</v>
      </c>
      <c r="D48" s="41" t="s">
        <v>468</v>
      </c>
      <c r="E48" s="90"/>
      <c r="G48" s="42"/>
      <c r="H48" s="42"/>
      <c r="I48" s="42"/>
      <c r="J48" s="42"/>
      <c r="K48" s="42"/>
      <c r="L48" s="42"/>
      <c r="M48" s="42"/>
    </row>
    <row r="49">
      <c r="A49" s="44">
        <v>45302.0</v>
      </c>
      <c r="B49" s="40" t="s">
        <v>14</v>
      </c>
      <c r="C49" s="41">
        <v>375.0</v>
      </c>
      <c r="D49" s="41" t="s">
        <v>469</v>
      </c>
      <c r="E49" s="90"/>
      <c r="G49" s="42"/>
      <c r="H49" s="42"/>
      <c r="I49" s="42"/>
      <c r="J49" s="42"/>
      <c r="K49" s="42"/>
      <c r="L49" s="42"/>
      <c r="M49" s="42"/>
    </row>
    <row r="50">
      <c r="A50" s="44">
        <v>45302.0</v>
      </c>
      <c r="B50" s="40" t="s">
        <v>79</v>
      </c>
      <c r="C50" s="41">
        <v>440.0</v>
      </c>
      <c r="D50" s="41" t="s">
        <v>470</v>
      </c>
      <c r="E50" s="90"/>
      <c r="G50" s="42"/>
      <c r="H50" s="42"/>
      <c r="I50" s="42"/>
      <c r="J50" s="42"/>
      <c r="K50" s="42"/>
      <c r="L50" s="42"/>
      <c r="M50" s="42"/>
    </row>
    <row r="51">
      <c r="A51" s="44">
        <v>45304.0</v>
      </c>
      <c r="B51" s="40" t="s">
        <v>15</v>
      </c>
      <c r="C51" s="41">
        <v>37.0</v>
      </c>
      <c r="D51" s="41" t="s">
        <v>64</v>
      </c>
      <c r="E51" s="90"/>
      <c r="G51" s="42"/>
      <c r="H51" s="42"/>
      <c r="I51" s="42"/>
      <c r="J51" s="42"/>
      <c r="K51" s="42"/>
      <c r="L51" s="42"/>
      <c r="M51" s="42"/>
    </row>
    <row r="52">
      <c r="A52" s="44">
        <v>45311.0</v>
      </c>
      <c r="B52" s="40" t="s">
        <v>17</v>
      </c>
      <c r="C52" s="41">
        <v>26.51</v>
      </c>
      <c r="D52" s="41" t="s">
        <v>96</v>
      </c>
      <c r="E52" s="41"/>
      <c r="G52" s="42"/>
      <c r="H52" s="42"/>
      <c r="I52" s="42"/>
      <c r="J52" s="42"/>
      <c r="K52" s="42"/>
      <c r="L52" s="42"/>
      <c r="M52" s="42"/>
    </row>
    <row r="53">
      <c r="A53" s="44">
        <v>45310.0</v>
      </c>
      <c r="B53" s="40" t="s">
        <v>17</v>
      </c>
      <c r="C53" s="41">
        <v>88.98</v>
      </c>
      <c r="D53" s="41" t="s">
        <v>471</v>
      </c>
      <c r="E53" s="41"/>
      <c r="G53" s="42"/>
      <c r="H53" s="42"/>
      <c r="I53" s="42"/>
      <c r="J53" s="42"/>
      <c r="K53" s="42"/>
      <c r="L53" s="42"/>
      <c r="M53" s="42"/>
    </row>
    <row r="54">
      <c r="A54" s="44">
        <v>45310.0</v>
      </c>
      <c r="B54" s="40" t="s">
        <v>24</v>
      </c>
      <c r="C54" s="41">
        <v>112.0</v>
      </c>
      <c r="D54" s="41" t="s">
        <v>472</v>
      </c>
      <c r="E54" s="41"/>
      <c r="G54" s="42"/>
      <c r="H54" s="42"/>
      <c r="I54" s="42"/>
      <c r="J54" s="42"/>
      <c r="K54" s="42"/>
      <c r="L54" s="42"/>
      <c r="M54" s="42"/>
    </row>
    <row r="55">
      <c r="A55" s="44">
        <v>45310.0</v>
      </c>
      <c r="B55" s="40" t="s">
        <v>15</v>
      </c>
      <c r="C55" s="41">
        <v>34.37</v>
      </c>
      <c r="D55" s="41" t="s">
        <v>473</v>
      </c>
      <c r="E55" s="41"/>
      <c r="G55" s="42"/>
      <c r="H55" s="42"/>
      <c r="I55" s="42"/>
      <c r="J55" s="42"/>
      <c r="K55" s="42"/>
      <c r="L55" s="42"/>
      <c r="M55" s="42"/>
    </row>
    <row r="56">
      <c r="A56" s="91">
        <v>45304.0</v>
      </c>
      <c r="B56" s="40" t="s">
        <v>17</v>
      </c>
      <c r="C56" s="41">
        <v>18.42</v>
      </c>
      <c r="D56" s="41" t="s">
        <v>474</v>
      </c>
      <c r="E56" s="41"/>
      <c r="G56" s="42"/>
      <c r="H56" s="42"/>
      <c r="I56" s="42"/>
      <c r="J56" s="42"/>
      <c r="K56" s="42"/>
      <c r="L56" s="42"/>
      <c r="M56" s="42"/>
    </row>
    <row r="57">
      <c r="A57" s="44">
        <v>45304.0</v>
      </c>
      <c r="B57" s="40" t="s">
        <v>15</v>
      </c>
      <c r="C57" s="41">
        <v>58.74</v>
      </c>
      <c r="D57" s="41" t="s">
        <v>110</v>
      </c>
      <c r="E57" s="41"/>
      <c r="G57" s="42"/>
      <c r="H57" s="42"/>
      <c r="I57" s="42"/>
      <c r="J57" s="42"/>
      <c r="K57" s="42"/>
      <c r="L57" s="42"/>
      <c r="M57" s="42"/>
    </row>
    <row r="58">
      <c r="A58" s="44">
        <v>45304.0</v>
      </c>
      <c r="B58" s="40" t="s">
        <v>15</v>
      </c>
      <c r="C58" s="41">
        <v>153.43</v>
      </c>
      <c r="D58" s="41" t="s">
        <v>47</v>
      </c>
      <c r="E58" s="41"/>
      <c r="G58" s="42"/>
      <c r="H58" s="42"/>
      <c r="I58" s="42"/>
      <c r="J58" s="42"/>
      <c r="K58" s="42"/>
      <c r="L58" s="42"/>
      <c r="M58" s="42"/>
    </row>
    <row r="59">
      <c r="A59" s="44">
        <v>45319.0</v>
      </c>
      <c r="B59" s="40" t="s">
        <v>19</v>
      </c>
      <c r="C59" s="41">
        <v>172.0</v>
      </c>
      <c r="D59" s="41" t="s">
        <v>475</v>
      </c>
      <c r="E59" s="41"/>
      <c r="G59" s="42"/>
      <c r="H59" s="42"/>
      <c r="I59" s="42"/>
      <c r="J59" s="42"/>
      <c r="K59" s="42"/>
      <c r="L59" s="42"/>
      <c r="M59" s="42"/>
    </row>
    <row r="60">
      <c r="A60" s="48">
        <v>45319.0</v>
      </c>
      <c r="B60" s="40" t="s">
        <v>25</v>
      </c>
      <c r="C60" s="41">
        <v>275.0</v>
      </c>
      <c r="D60" s="41" t="s">
        <v>476</v>
      </c>
      <c r="E60" s="41"/>
      <c r="G60" s="42"/>
      <c r="H60" s="42"/>
      <c r="I60" s="42"/>
      <c r="J60" s="42"/>
      <c r="K60" s="42"/>
      <c r="L60" s="42"/>
      <c r="M60" s="42"/>
    </row>
    <row r="61">
      <c r="A61" s="48">
        <v>45319.0</v>
      </c>
      <c r="B61" s="40" t="s">
        <v>19</v>
      </c>
      <c r="C61" s="41">
        <v>55.0</v>
      </c>
      <c r="D61" s="41" t="s">
        <v>477</v>
      </c>
      <c r="E61" s="41"/>
      <c r="G61" s="42"/>
      <c r="H61" s="42"/>
      <c r="I61" s="42"/>
      <c r="J61" s="42"/>
      <c r="K61" s="42"/>
      <c r="L61" s="42"/>
      <c r="M61" s="42"/>
    </row>
    <row r="62">
      <c r="A62" s="48">
        <v>45319.0</v>
      </c>
      <c r="B62" s="40" t="s">
        <v>15</v>
      </c>
      <c r="C62" s="41">
        <v>66.0</v>
      </c>
      <c r="D62" s="41" t="s">
        <v>90</v>
      </c>
      <c r="E62" s="41"/>
      <c r="G62" s="42"/>
      <c r="H62" s="42"/>
      <c r="I62" s="42"/>
      <c r="J62" s="42"/>
      <c r="K62" s="42"/>
      <c r="L62" s="42"/>
      <c r="M62" s="42"/>
    </row>
    <row r="63">
      <c r="A63" s="48">
        <v>45319.0</v>
      </c>
      <c r="B63" s="40" t="s">
        <v>17</v>
      </c>
      <c r="C63" s="41">
        <v>23.79</v>
      </c>
      <c r="D63" s="41" t="s">
        <v>478</v>
      </c>
      <c r="E63" s="41"/>
      <c r="G63" s="42"/>
      <c r="H63" s="42"/>
      <c r="I63" s="42"/>
      <c r="J63" s="42"/>
      <c r="K63" s="42"/>
      <c r="L63" s="42"/>
      <c r="M63" s="42"/>
    </row>
    <row r="64">
      <c r="A64" s="44">
        <v>45318.0</v>
      </c>
      <c r="B64" s="40" t="s">
        <v>25</v>
      </c>
      <c r="C64" s="41">
        <v>20.0</v>
      </c>
      <c r="D64" s="41" t="s">
        <v>479</v>
      </c>
      <c r="E64" s="41"/>
      <c r="G64" s="42"/>
      <c r="H64" s="42"/>
      <c r="I64" s="42"/>
      <c r="J64" s="42"/>
      <c r="K64" s="42"/>
      <c r="L64" s="42"/>
      <c r="M64" s="42"/>
    </row>
    <row r="65">
      <c r="A65" s="44">
        <v>45318.0</v>
      </c>
      <c r="B65" s="40" t="s">
        <v>25</v>
      </c>
      <c r="C65" s="41">
        <v>-90.0</v>
      </c>
      <c r="D65" s="41" t="s">
        <v>480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45318.0</v>
      </c>
      <c r="B66" s="40" t="s">
        <v>19</v>
      </c>
      <c r="C66" s="41">
        <v>54.0</v>
      </c>
      <c r="D66" s="41" t="s">
        <v>481</v>
      </c>
      <c r="E66" s="41"/>
      <c r="G66" s="42"/>
      <c r="H66" s="42"/>
      <c r="I66" s="42"/>
      <c r="J66" s="42"/>
      <c r="K66" s="42"/>
      <c r="L66" s="42"/>
      <c r="M66" s="42"/>
    </row>
    <row r="67">
      <c r="A67" s="44">
        <v>45318.0</v>
      </c>
      <c r="B67" s="40" t="s">
        <v>17</v>
      </c>
      <c r="C67" s="41">
        <v>22.84</v>
      </c>
      <c r="D67" s="41" t="s">
        <v>482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45318.0</v>
      </c>
      <c r="B68" s="40" t="s">
        <v>19</v>
      </c>
      <c r="C68" s="41">
        <v>21.65</v>
      </c>
      <c r="D68" s="41" t="s">
        <v>483</v>
      </c>
      <c r="E68" s="41"/>
      <c r="G68" s="42"/>
      <c r="H68" s="42"/>
      <c r="I68" s="42"/>
      <c r="J68" s="42"/>
      <c r="K68" s="42"/>
      <c r="L68" s="42"/>
      <c r="M68" s="42"/>
    </row>
    <row r="69">
      <c r="A69" s="44">
        <v>45317.0</v>
      </c>
      <c r="B69" s="40" t="s">
        <v>17</v>
      </c>
      <c r="C69" s="41">
        <v>44.38</v>
      </c>
      <c r="D69" s="41" t="s">
        <v>484</v>
      </c>
      <c r="E69" s="41"/>
      <c r="G69" s="42"/>
      <c r="H69" s="42"/>
      <c r="I69" s="42"/>
      <c r="J69" s="42"/>
      <c r="K69" s="42"/>
      <c r="L69" s="42"/>
      <c r="M69" s="42"/>
    </row>
    <row r="70">
      <c r="A70" s="44">
        <v>45317.0</v>
      </c>
      <c r="B70" s="40" t="s">
        <v>17</v>
      </c>
      <c r="C70" s="41">
        <v>6.0</v>
      </c>
      <c r="D70" s="41" t="s">
        <v>485</v>
      </c>
      <c r="E70" s="41"/>
      <c r="G70" s="42"/>
      <c r="H70" s="42"/>
      <c r="I70" s="42"/>
      <c r="J70" s="42"/>
      <c r="K70" s="42"/>
      <c r="L70" s="42"/>
      <c r="M70" s="42"/>
    </row>
    <row r="71">
      <c r="A71" s="44">
        <v>45316.0</v>
      </c>
      <c r="B71" s="40" t="s">
        <v>14</v>
      </c>
      <c r="C71" s="41">
        <v>74.5</v>
      </c>
      <c r="D71" s="41" t="s">
        <v>486</v>
      </c>
      <c r="E71" s="41"/>
      <c r="G71" s="42"/>
      <c r="H71" s="42"/>
      <c r="I71" s="42"/>
      <c r="J71" s="42"/>
      <c r="K71" s="42"/>
      <c r="L71" s="42"/>
      <c r="M71" s="42"/>
    </row>
    <row r="72">
      <c r="A72" s="44">
        <v>45316.0</v>
      </c>
      <c r="B72" s="40" t="s">
        <v>14</v>
      </c>
      <c r="C72" s="41">
        <v>511.0</v>
      </c>
      <c r="D72" s="41" t="s">
        <v>487</v>
      </c>
      <c r="E72" s="41"/>
      <c r="G72" s="42"/>
      <c r="H72" s="42"/>
      <c r="I72" s="42"/>
      <c r="J72" s="42"/>
      <c r="K72" s="42"/>
      <c r="L72" s="42"/>
      <c r="M72" s="42"/>
    </row>
    <row r="73">
      <c r="A73" s="44">
        <v>45316.0</v>
      </c>
      <c r="B73" s="40" t="s">
        <v>15</v>
      </c>
      <c r="C73" s="41">
        <v>79.5</v>
      </c>
      <c r="D73" s="41" t="s">
        <v>57</v>
      </c>
      <c r="E73" s="41"/>
      <c r="G73" s="42"/>
      <c r="H73" s="42"/>
      <c r="I73" s="42"/>
      <c r="J73" s="42"/>
      <c r="K73" s="42"/>
      <c r="L73" s="42"/>
      <c r="M73" s="42"/>
    </row>
    <row r="74">
      <c r="A74" s="44">
        <v>45318.0</v>
      </c>
      <c r="B74" s="40" t="s">
        <v>15</v>
      </c>
      <c r="C74" s="41">
        <v>4.0</v>
      </c>
      <c r="D74" s="41" t="s">
        <v>393</v>
      </c>
      <c r="E74" s="41"/>
      <c r="G74" s="42"/>
      <c r="H74" s="42"/>
      <c r="I74" s="42"/>
      <c r="J74" s="42"/>
      <c r="K74" s="42"/>
      <c r="L74" s="42"/>
      <c r="M74" s="42"/>
    </row>
    <row r="75">
      <c r="A75" s="44">
        <v>45319.0</v>
      </c>
      <c r="B75" s="40" t="s">
        <v>25</v>
      </c>
      <c r="C75" s="41"/>
      <c r="D75" s="41"/>
      <c r="E75" s="41"/>
      <c r="G75" s="42"/>
      <c r="H75" s="42"/>
      <c r="I75" s="42"/>
      <c r="J75" s="42"/>
      <c r="K75" s="42"/>
      <c r="L75" s="42"/>
      <c r="M75" s="42"/>
    </row>
    <row r="76">
      <c r="A76" s="44"/>
      <c r="B76" s="40"/>
      <c r="C76" s="41"/>
      <c r="D76" s="41"/>
      <c r="E76" s="41"/>
      <c r="G76" s="42"/>
      <c r="H76" s="42"/>
      <c r="I76" s="42"/>
      <c r="J76" s="42"/>
      <c r="K76" s="42"/>
      <c r="L76" s="42"/>
      <c r="M76" s="42"/>
    </row>
    <row r="77">
      <c r="A77" s="44"/>
      <c r="B77" s="40"/>
      <c r="C77" s="41"/>
      <c r="D77" s="41"/>
      <c r="E77" s="41"/>
      <c r="G77" s="42"/>
      <c r="H77" s="42"/>
      <c r="I77" s="42"/>
      <c r="J77" s="42"/>
      <c r="K77" s="42"/>
      <c r="L77" s="42"/>
      <c r="M77" s="42"/>
    </row>
    <row r="78">
      <c r="A78" s="44"/>
      <c r="B78" s="40"/>
      <c r="C78" s="41"/>
      <c r="D78" s="41"/>
      <c r="E78" s="41"/>
      <c r="G78" s="42"/>
      <c r="H78" s="42"/>
      <c r="I78" s="42"/>
      <c r="J78" s="42"/>
      <c r="K78" s="42"/>
      <c r="L78" s="42"/>
      <c r="M78" s="42"/>
    </row>
    <row r="79">
      <c r="A79" s="44"/>
      <c r="B79" s="40"/>
      <c r="C79" s="41"/>
      <c r="D79" s="41"/>
      <c r="E79" s="41"/>
      <c r="G79" s="42"/>
      <c r="H79" s="42"/>
      <c r="I79" s="42"/>
      <c r="J79" s="42"/>
      <c r="K79" s="42"/>
      <c r="L79" s="42"/>
      <c r="M79" s="42"/>
    </row>
    <row r="80">
      <c r="A80" s="44"/>
      <c r="B80" s="40"/>
      <c r="C80" s="41"/>
      <c r="D80" s="41"/>
      <c r="E80" s="41"/>
      <c r="G80" s="42"/>
      <c r="H80" s="42"/>
      <c r="I80" s="42"/>
      <c r="J80" s="42"/>
      <c r="K80" s="42"/>
      <c r="L80" s="42"/>
      <c r="M80" s="42"/>
    </row>
    <row r="81">
      <c r="A81" s="44"/>
      <c r="B81" s="40"/>
      <c r="C81" s="41"/>
      <c r="D81" s="41"/>
      <c r="E81" s="41"/>
      <c r="G81" s="42"/>
      <c r="H81" s="42"/>
      <c r="I81" s="42"/>
      <c r="J81" s="42"/>
      <c r="K81" s="42"/>
      <c r="L81" s="42"/>
      <c r="M81" s="42"/>
    </row>
    <row r="82">
      <c r="A82" s="44"/>
      <c r="B82" s="40"/>
      <c r="C82" s="41"/>
      <c r="D82" s="41"/>
      <c r="E82" s="41"/>
      <c r="G82" s="42"/>
      <c r="H82" s="42"/>
      <c r="I82" s="42"/>
      <c r="J82" s="42"/>
      <c r="K82" s="42"/>
      <c r="L82" s="42"/>
      <c r="M82" s="42"/>
    </row>
    <row r="83">
      <c r="A83" s="44"/>
      <c r="B83" s="40"/>
      <c r="C83" s="41"/>
      <c r="D83" s="41"/>
      <c r="E83" s="41"/>
      <c r="G83" s="42"/>
      <c r="H83" s="42"/>
      <c r="I83" s="42"/>
      <c r="J83" s="42"/>
      <c r="K83" s="42"/>
      <c r="L83" s="42"/>
      <c r="M83" s="42"/>
    </row>
    <row r="84">
      <c r="A84" s="44"/>
      <c r="B84" s="40"/>
      <c r="C84" s="41"/>
      <c r="D84" s="41"/>
      <c r="E84" s="41"/>
      <c r="G84" s="42"/>
      <c r="H84" s="42"/>
      <c r="I84" s="42"/>
      <c r="J84" s="42"/>
      <c r="K84" s="42"/>
      <c r="L84" s="42"/>
      <c r="M84" s="42"/>
    </row>
    <row r="85">
      <c r="A85" s="44"/>
      <c r="B85" s="40"/>
      <c r="C85" s="41"/>
      <c r="D85" s="41"/>
      <c r="E85" s="41"/>
      <c r="G85" s="42"/>
      <c r="H85" s="42"/>
      <c r="I85" s="42"/>
      <c r="J85" s="42"/>
      <c r="K85" s="42"/>
      <c r="L85" s="42"/>
      <c r="M85" s="42"/>
    </row>
    <row r="86">
      <c r="A86" s="44"/>
      <c r="B86" s="40"/>
      <c r="C86" s="41"/>
      <c r="D86" s="41"/>
      <c r="E86" s="41"/>
      <c r="G86" s="42"/>
      <c r="H86" s="42"/>
      <c r="I86" s="42"/>
      <c r="J86" s="42"/>
      <c r="K86" s="42"/>
      <c r="L86" s="42"/>
      <c r="M86" s="42"/>
    </row>
    <row r="87">
      <c r="A87" s="44"/>
      <c r="B87" s="40"/>
      <c r="C87" s="41"/>
      <c r="D87" s="41"/>
      <c r="E87" s="41"/>
      <c r="G87" s="42"/>
      <c r="H87" s="42"/>
      <c r="I87" s="42"/>
      <c r="J87" s="42"/>
      <c r="K87" s="42"/>
      <c r="L87" s="42"/>
      <c r="M87" s="42"/>
    </row>
    <row r="88">
      <c r="A88" s="44"/>
      <c r="B88" s="40"/>
      <c r="C88" s="41"/>
      <c r="D88" s="41"/>
      <c r="E88" s="41"/>
      <c r="G88" s="42"/>
      <c r="H88" s="42"/>
      <c r="I88" s="42"/>
      <c r="J88" s="42"/>
      <c r="K88" s="42"/>
      <c r="L88" s="42"/>
      <c r="M88" s="42"/>
    </row>
    <row r="89">
      <c r="A89" s="44"/>
      <c r="B89" s="40"/>
      <c r="C89" s="41"/>
      <c r="D89" s="41"/>
      <c r="E89" s="41"/>
      <c r="G89" s="42"/>
      <c r="H89" s="42"/>
      <c r="I89" s="42"/>
      <c r="J89" s="42"/>
      <c r="K89" s="42"/>
      <c r="L89" s="42"/>
      <c r="M89" s="42"/>
    </row>
    <row r="90">
      <c r="A90" s="44"/>
      <c r="B90" s="40"/>
      <c r="C90" s="41"/>
      <c r="D90" s="41"/>
      <c r="E90" s="41"/>
      <c r="G90" s="42"/>
      <c r="H90" s="42"/>
      <c r="I90" s="42"/>
      <c r="J90" s="42"/>
      <c r="K90" s="42"/>
      <c r="L90" s="42"/>
      <c r="M90" s="42"/>
    </row>
    <row r="91">
      <c r="A91" s="44"/>
      <c r="B91" s="40"/>
      <c r="C91" s="41"/>
      <c r="D91" s="41"/>
      <c r="E91" s="41"/>
      <c r="G91" s="42"/>
      <c r="H91" s="42"/>
      <c r="I91" s="42"/>
      <c r="J91" s="42"/>
      <c r="K91" s="42"/>
      <c r="L91" s="42"/>
      <c r="M91" s="42"/>
    </row>
    <row r="92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</sheetData>
  <autoFilter ref="$A$31:$D$81"/>
  <mergeCells count="4">
    <mergeCell ref="A1:H2"/>
    <mergeCell ref="A4:D4"/>
    <mergeCell ref="G4:H4"/>
    <mergeCell ref="J4:M4"/>
  </mergeCells>
  <conditionalFormatting sqref="D6:E16">
    <cfRule type="cellIs" dxfId="0" priority="1" operator="greaterThan">
      <formula>0</formula>
    </cfRule>
  </conditionalFormatting>
  <conditionalFormatting sqref="D6:D15 E6:E16">
    <cfRule type="cellIs" dxfId="1" priority="2" operator="lessThan">
      <formula>0</formula>
    </cfRule>
  </conditionalFormatting>
  <dataValidations>
    <dataValidation type="list" allowBlank="1" sqref="B20:B100">
      <formula1>'Hidden list and Figures'!$A$3:$A$15</formula1>
    </dataValidation>
    <dataValidation type="custom" allowBlank="1" showDropDown="1" showInputMessage="1" prompt="Select a date" sqref="A32:A100">
      <formula1>OR(NOT(ISERROR(DATEVALUE(A32))), AND(ISNUMBER(A32), LEFT(CELL("format", A32))="D"))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sumif($B$20:$C$103,A6,$C$20:$C$103)</f>
        <v>2732.67</v>
      </c>
      <c r="D6" s="17">
        <f t="shared" ref="D6:D15" si="2">B6-C6</f>
        <v>-68.99</v>
      </c>
      <c r="E6" s="18">
        <f t="shared" ref="E6:E16" si="3">D6/B6</f>
        <v>-0.02590025829</v>
      </c>
      <c r="G6" s="19" t="s">
        <v>11</v>
      </c>
      <c r="H6" s="14">
        <f>1881+2005</f>
        <v>3886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14">
        <v>4400.0</v>
      </c>
    </row>
    <row r="8">
      <c r="A8" s="21" t="s">
        <v>14</v>
      </c>
      <c r="B8" s="22">
        <v>250.0</v>
      </c>
      <c r="C8" s="22">
        <f t="shared" si="1"/>
        <v>658.62</v>
      </c>
      <c r="D8" s="23">
        <f t="shared" si="2"/>
        <v>-408.62</v>
      </c>
      <c r="E8" s="18">
        <f t="shared" si="3"/>
        <v>-1.63448</v>
      </c>
      <c r="G8" s="64" t="s">
        <v>27</v>
      </c>
      <c r="H8" s="92">
        <f>SUM(H6:H7)</f>
        <v>8286</v>
      </c>
    </row>
    <row r="9">
      <c r="A9" s="24" t="s">
        <v>15</v>
      </c>
      <c r="B9" s="22">
        <v>400.0</v>
      </c>
      <c r="C9" s="22">
        <f t="shared" si="1"/>
        <v>344.74</v>
      </c>
      <c r="D9" s="23">
        <f t="shared" si="2"/>
        <v>55.26</v>
      </c>
      <c r="E9" s="18">
        <f t="shared" si="3"/>
        <v>0.13815</v>
      </c>
    </row>
    <row r="10">
      <c r="A10" s="24" t="s">
        <v>17</v>
      </c>
      <c r="B10" s="22">
        <v>400.0</v>
      </c>
      <c r="C10" s="22">
        <f t="shared" si="1"/>
        <v>456.54</v>
      </c>
      <c r="D10" s="23">
        <f t="shared" si="2"/>
        <v>-56.54</v>
      </c>
      <c r="E10" s="18">
        <f t="shared" si="3"/>
        <v>-0.14135</v>
      </c>
      <c r="G10" s="13" t="s">
        <v>16</v>
      </c>
      <c r="H10" s="14"/>
    </row>
    <row r="11">
      <c r="A11" s="22" t="s">
        <v>19</v>
      </c>
      <c r="B11" s="22">
        <v>200.0</v>
      </c>
      <c r="C11" s="22">
        <f t="shared" si="1"/>
        <v>16.35</v>
      </c>
      <c r="D11" s="23">
        <f t="shared" si="2"/>
        <v>183.65</v>
      </c>
      <c r="E11" s="18">
        <f t="shared" si="3"/>
        <v>0.91825</v>
      </c>
      <c r="G11" s="19" t="s">
        <v>18</v>
      </c>
      <c r="H11" s="14">
        <f>sum(C16)</f>
        <v>6377.04</v>
      </c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H12" s="14"/>
    </row>
    <row r="13">
      <c r="A13" s="25" t="s">
        <v>22</v>
      </c>
      <c r="B13" s="22">
        <v>200.0</v>
      </c>
      <c r="C13" s="22">
        <f t="shared" ref="C13:C15" si="4">sumif($B$20:$C$103,A13,$C$20:$C$103)</f>
        <v>101.47</v>
      </c>
      <c r="D13" s="23">
        <f t="shared" si="2"/>
        <v>98.53</v>
      </c>
      <c r="E13" s="18">
        <f t="shared" si="3"/>
        <v>0.49265</v>
      </c>
      <c r="G13" s="13" t="s">
        <v>21</v>
      </c>
      <c r="H13" s="14"/>
    </row>
    <row r="14">
      <c r="A14" s="26" t="s">
        <v>24</v>
      </c>
      <c r="B14" s="27">
        <v>0.0</v>
      </c>
      <c r="C14" s="22">
        <f t="shared" si="4"/>
        <v>480</v>
      </c>
      <c r="D14" s="23">
        <f t="shared" si="2"/>
        <v>-480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1086.65</v>
      </c>
      <c r="D15" s="28">
        <f t="shared" si="2"/>
        <v>-786.65</v>
      </c>
      <c r="E15" s="18">
        <f t="shared" si="3"/>
        <v>-2.622166667</v>
      </c>
      <c r="H15" s="4"/>
      <c r="I15" s="6"/>
      <c r="J15" s="6"/>
      <c r="K15" s="6"/>
      <c r="L15" s="6"/>
      <c r="M15" s="6"/>
    </row>
    <row r="16">
      <c r="A16" s="30" t="s">
        <v>27</v>
      </c>
      <c r="B16" s="31">
        <f t="shared" ref="B16:D16" si="5">SUM(B6:B15)</f>
        <v>4913.68</v>
      </c>
      <c r="C16" s="31">
        <f t="shared" si="5"/>
        <v>6377.04</v>
      </c>
      <c r="D16" s="31">
        <f t="shared" si="5"/>
        <v>-1463.36</v>
      </c>
      <c r="E16" s="18">
        <f t="shared" si="3"/>
        <v>-0.2978134514</v>
      </c>
      <c r="F16" s="32"/>
      <c r="G16" s="13" t="s">
        <v>26</v>
      </c>
      <c r="H16" s="47">
        <f>SUMIF($B$20:$C$125,"Travel",$C$20:$C$125)</f>
        <v>274.2</v>
      </c>
      <c r="I16" s="34"/>
      <c r="J16" s="34"/>
      <c r="K16" s="34"/>
      <c r="L16" s="34"/>
      <c r="M16" s="34"/>
    </row>
    <row r="17">
      <c r="A17" s="35"/>
      <c r="B17" s="36"/>
      <c r="C17" s="36"/>
      <c r="D17" s="37"/>
      <c r="E17" s="37"/>
      <c r="F17" s="36"/>
      <c r="G17" s="13" t="s">
        <v>28</v>
      </c>
      <c r="H17" s="33">
        <f>500-SUMIF($B$20:$C$125,"Travel",$C$20:$C$125)+'Jan 2024'!H16</f>
        <v>150.46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2060.0</v>
      </c>
      <c r="D20" s="41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55.0</v>
      </c>
      <c r="D21" s="41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97.85</v>
      </c>
      <c r="D22" s="41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156.0</v>
      </c>
      <c r="D23" s="41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9.86</v>
      </c>
      <c r="D24" s="41" t="s">
        <v>38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1133.34/6</f>
        <v>188.89</v>
      </c>
      <c r="D25" s="41" t="s">
        <v>23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2.87</v>
      </c>
      <c r="D26" s="41" t="s">
        <v>39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1.99</v>
      </c>
      <c r="D27" s="41" t="s">
        <v>40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5.83</v>
      </c>
      <c r="D28" s="41" t="s">
        <v>41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6.25</v>
      </c>
      <c r="D29" s="41" t="s">
        <v>488</v>
      </c>
      <c r="E29" s="41"/>
      <c r="G29" s="42"/>
      <c r="H29" s="42"/>
      <c r="I29" s="42"/>
      <c r="J29" s="42"/>
      <c r="K29" s="42"/>
      <c r="L29" s="42"/>
      <c r="M29" s="42"/>
    </row>
    <row r="30">
      <c r="A30" s="40" t="s">
        <v>32</v>
      </c>
      <c r="B30" s="40" t="s">
        <v>10</v>
      </c>
      <c r="C30" s="41">
        <v>148.13</v>
      </c>
      <c r="D30" s="41" t="s">
        <v>42</v>
      </c>
      <c r="E30" s="41"/>
      <c r="G30" s="42"/>
      <c r="H30" s="42"/>
      <c r="I30" s="42"/>
      <c r="J30" s="42"/>
      <c r="K30" s="42"/>
      <c r="L30" s="42"/>
      <c r="M30" s="42"/>
    </row>
    <row r="31">
      <c r="A31" s="43"/>
      <c r="B31" s="40"/>
      <c r="C31" s="41"/>
      <c r="D31" s="41"/>
      <c r="E31" s="41"/>
      <c r="G31" s="42"/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G32" s="42"/>
      <c r="H32" s="42"/>
      <c r="I32" s="42"/>
      <c r="J32" s="42"/>
      <c r="K32" s="42"/>
      <c r="L32" s="42"/>
      <c r="M32" s="42"/>
    </row>
    <row r="33">
      <c r="A33" s="91">
        <v>45337.0</v>
      </c>
      <c r="B33" s="40" t="s">
        <v>14</v>
      </c>
      <c r="C33" s="41">
        <v>48.0</v>
      </c>
      <c r="D33" s="41" t="s">
        <v>489</v>
      </c>
      <c r="G33" s="42"/>
      <c r="H33" s="42"/>
      <c r="I33" s="42"/>
      <c r="J33" s="42"/>
      <c r="K33" s="42"/>
      <c r="L33" s="42"/>
      <c r="M33" s="42"/>
    </row>
    <row r="34" hidden="1">
      <c r="A34" s="44">
        <v>45327.0</v>
      </c>
      <c r="B34" s="40" t="s">
        <v>17</v>
      </c>
      <c r="C34" s="41">
        <v>22.0</v>
      </c>
      <c r="D34" s="41" t="s">
        <v>374</v>
      </c>
      <c r="G34" s="42"/>
      <c r="H34" s="42"/>
      <c r="I34" s="42"/>
      <c r="J34" s="42"/>
      <c r="K34" s="42"/>
      <c r="L34" s="42"/>
      <c r="M34" s="42"/>
    </row>
    <row r="35">
      <c r="A35" s="44">
        <v>45337.0</v>
      </c>
      <c r="B35" s="40" t="s">
        <v>14</v>
      </c>
      <c r="C35" s="41">
        <v>551.0</v>
      </c>
      <c r="D35" s="41" t="s">
        <v>490</v>
      </c>
      <c r="G35" s="42"/>
      <c r="H35" s="42"/>
      <c r="I35" s="42"/>
      <c r="J35" s="42"/>
      <c r="K35" s="42"/>
      <c r="L35" s="42"/>
      <c r="M35" s="42"/>
    </row>
    <row r="36" hidden="1">
      <c r="A36" s="44"/>
      <c r="B36" s="40" t="s">
        <v>17</v>
      </c>
      <c r="C36" s="93">
        <v>24.9</v>
      </c>
      <c r="D36" s="94" t="s">
        <v>491</v>
      </c>
      <c r="G36" s="42"/>
      <c r="H36" s="42"/>
      <c r="I36" s="42"/>
      <c r="J36" s="42"/>
      <c r="K36" s="42"/>
      <c r="L36" s="42"/>
      <c r="M36" s="42"/>
    </row>
    <row r="37" hidden="1">
      <c r="A37" s="44"/>
      <c r="B37" s="40" t="s">
        <v>79</v>
      </c>
      <c r="C37" s="93">
        <v>40.0</v>
      </c>
      <c r="D37" s="94" t="s">
        <v>492</v>
      </c>
      <c r="G37" s="42"/>
      <c r="H37" s="42"/>
      <c r="I37" s="42"/>
      <c r="J37" s="42"/>
      <c r="K37" s="42"/>
      <c r="L37" s="42"/>
      <c r="M37" s="42"/>
    </row>
    <row r="38" hidden="1">
      <c r="A38" s="44"/>
      <c r="B38" s="40" t="s">
        <v>17</v>
      </c>
      <c r="C38" s="93">
        <v>3.25</v>
      </c>
      <c r="D38" s="93" t="s">
        <v>493</v>
      </c>
      <c r="G38" s="42"/>
      <c r="H38" s="42"/>
      <c r="I38" s="42"/>
      <c r="J38" s="42"/>
      <c r="K38" s="42"/>
      <c r="L38" s="42"/>
      <c r="M38" s="42"/>
    </row>
    <row r="39" hidden="1">
      <c r="A39" s="44"/>
      <c r="B39" s="40" t="s">
        <v>15</v>
      </c>
      <c r="C39" s="93">
        <v>123.0</v>
      </c>
      <c r="D39" s="94" t="s">
        <v>494</v>
      </c>
      <c r="G39" s="42"/>
      <c r="H39" s="42"/>
      <c r="I39" s="42"/>
      <c r="J39" s="42"/>
      <c r="K39" s="42"/>
      <c r="L39" s="42"/>
      <c r="M39" s="42"/>
    </row>
    <row r="40" hidden="1">
      <c r="A40" s="48"/>
      <c r="B40" s="40" t="s">
        <v>15</v>
      </c>
      <c r="C40" s="93">
        <v>20.52</v>
      </c>
      <c r="D40" s="94" t="s">
        <v>495</v>
      </c>
      <c r="G40" s="42"/>
      <c r="H40" s="42"/>
      <c r="I40" s="42"/>
      <c r="J40" s="42"/>
      <c r="K40" s="42"/>
      <c r="L40" s="42"/>
      <c r="M40" s="42"/>
    </row>
    <row r="41" hidden="1">
      <c r="A41" s="44"/>
      <c r="B41" s="40" t="s">
        <v>17</v>
      </c>
      <c r="C41" s="93">
        <v>24.32</v>
      </c>
      <c r="D41" s="94" t="s">
        <v>496</v>
      </c>
      <c r="G41" s="42"/>
      <c r="H41" s="42"/>
      <c r="I41" s="42"/>
      <c r="J41" s="42"/>
      <c r="K41" s="42"/>
      <c r="L41" s="42"/>
      <c r="M41" s="42"/>
    </row>
    <row r="42" hidden="1">
      <c r="A42" s="44"/>
      <c r="B42" s="40" t="s">
        <v>22</v>
      </c>
      <c r="C42" s="93">
        <v>39.37</v>
      </c>
      <c r="D42" s="93" t="s">
        <v>344</v>
      </c>
      <c r="G42" s="42"/>
      <c r="H42" s="42"/>
      <c r="I42" s="42"/>
      <c r="J42" s="42"/>
      <c r="K42" s="42"/>
      <c r="L42" s="42"/>
      <c r="M42" s="42"/>
    </row>
    <row r="43">
      <c r="A43" s="44"/>
      <c r="B43" s="40" t="s">
        <v>25</v>
      </c>
      <c r="C43" s="93">
        <v>184.01</v>
      </c>
      <c r="D43" s="93" t="s">
        <v>497</v>
      </c>
      <c r="G43" s="42"/>
      <c r="H43" s="42"/>
      <c r="I43" s="42"/>
      <c r="J43" s="42"/>
      <c r="K43" s="42"/>
      <c r="L43" s="42"/>
      <c r="M43" s="42"/>
    </row>
    <row r="44" hidden="1">
      <c r="A44" s="44"/>
      <c r="B44" s="40" t="s">
        <v>79</v>
      </c>
      <c r="C44" s="93">
        <v>36.78</v>
      </c>
      <c r="D44" s="93" t="s">
        <v>498</v>
      </c>
      <c r="G44" s="42"/>
      <c r="H44" s="42"/>
      <c r="I44" s="42"/>
      <c r="J44" s="42"/>
      <c r="K44" s="42"/>
      <c r="L44" s="42"/>
      <c r="M44" s="42"/>
    </row>
    <row r="45" hidden="1">
      <c r="A45" s="44"/>
      <c r="B45" s="40" t="s">
        <v>79</v>
      </c>
      <c r="C45" s="93">
        <v>143.0</v>
      </c>
      <c r="D45" s="93" t="s">
        <v>47</v>
      </c>
      <c r="G45" s="42"/>
      <c r="H45" s="42"/>
      <c r="I45" s="42"/>
      <c r="J45" s="42"/>
      <c r="K45" s="42"/>
      <c r="L45" s="42"/>
      <c r="M45" s="42"/>
    </row>
    <row r="46">
      <c r="A46" s="44"/>
      <c r="B46" s="40" t="s">
        <v>25</v>
      </c>
      <c r="C46" s="94">
        <f>93.65*2/3</f>
        <v>62.43333333</v>
      </c>
      <c r="D46" s="93" t="s">
        <v>499</v>
      </c>
      <c r="G46" s="42"/>
      <c r="H46" s="42"/>
      <c r="I46" s="42"/>
      <c r="J46" s="42"/>
      <c r="K46" s="42"/>
      <c r="L46" s="42"/>
      <c r="M46" s="42"/>
    </row>
    <row r="47">
      <c r="A47" s="44"/>
      <c r="B47" s="40" t="s">
        <v>25</v>
      </c>
      <c r="C47" s="94">
        <f>64.57*2/3</f>
        <v>43.04666667</v>
      </c>
      <c r="D47" s="93" t="s">
        <v>499</v>
      </c>
      <c r="G47" s="42"/>
      <c r="H47" s="42"/>
      <c r="I47" s="42"/>
      <c r="J47" s="42"/>
      <c r="K47" s="42"/>
      <c r="L47" s="42"/>
      <c r="M47" s="42"/>
    </row>
    <row r="48">
      <c r="A48" s="44"/>
      <c r="B48" s="40" t="s">
        <v>25</v>
      </c>
      <c r="C48" s="93">
        <v>395.11</v>
      </c>
      <c r="D48" s="93" t="s">
        <v>500</v>
      </c>
      <c r="G48" s="42"/>
      <c r="H48" s="42"/>
      <c r="I48" s="42"/>
      <c r="J48" s="42"/>
      <c r="K48" s="42"/>
      <c r="L48" s="42"/>
      <c r="M48" s="42"/>
    </row>
    <row r="49" hidden="1">
      <c r="A49" s="44"/>
      <c r="B49" s="40" t="s">
        <v>22</v>
      </c>
      <c r="C49" s="93">
        <v>29.84</v>
      </c>
      <c r="D49" s="93" t="s">
        <v>501</v>
      </c>
      <c r="E49" s="90"/>
      <c r="G49" s="42"/>
      <c r="H49" s="42"/>
      <c r="I49" s="42"/>
      <c r="J49" s="42"/>
      <c r="K49" s="42"/>
      <c r="L49" s="42"/>
      <c r="M49" s="42"/>
    </row>
    <row r="50">
      <c r="A50" s="44"/>
      <c r="B50" s="40" t="s">
        <v>25</v>
      </c>
      <c r="C50" s="93">
        <v>21.65</v>
      </c>
      <c r="D50" s="93" t="s">
        <v>502</v>
      </c>
      <c r="E50" s="90"/>
      <c r="G50" s="42"/>
      <c r="H50" s="42"/>
      <c r="I50" s="42"/>
      <c r="J50" s="42"/>
      <c r="K50" s="42"/>
      <c r="L50" s="42"/>
      <c r="M50" s="42"/>
    </row>
    <row r="51">
      <c r="A51" s="44"/>
      <c r="B51" s="40" t="s">
        <v>25</v>
      </c>
      <c r="C51" s="93">
        <v>62.0</v>
      </c>
      <c r="D51" s="93" t="s">
        <v>503</v>
      </c>
      <c r="E51" s="90"/>
      <c r="G51" s="42"/>
      <c r="H51" s="42"/>
      <c r="I51" s="42"/>
      <c r="J51" s="42"/>
      <c r="K51" s="42"/>
      <c r="L51" s="42"/>
      <c r="M51" s="42"/>
    </row>
    <row r="52" hidden="1">
      <c r="A52" s="44"/>
      <c r="B52" s="40" t="s">
        <v>24</v>
      </c>
      <c r="C52" s="93">
        <v>480.0</v>
      </c>
      <c r="D52" s="93" t="s">
        <v>504</v>
      </c>
      <c r="E52" s="90"/>
      <c r="G52" s="42"/>
      <c r="H52" s="42"/>
      <c r="I52" s="42"/>
      <c r="J52" s="42"/>
      <c r="K52" s="42"/>
      <c r="L52" s="42"/>
      <c r="M52" s="42"/>
    </row>
    <row r="53" hidden="1">
      <c r="A53" s="44"/>
      <c r="B53" s="40" t="s">
        <v>17</v>
      </c>
      <c r="C53" s="93">
        <v>8.11</v>
      </c>
      <c r="D53" s="93" t="s">
        <v>505</v>
      </c>
      <c r="E53" s="41"/>
      <c r="G53" s="42"/>
      <c r="H53" s="42"/>
      <c r="I53" s="42"/>
      <c r="J53" s="42"/>
      <c r="K53" s="42"/>
      <c r="L53" s="42"/>
      <c r="M53" s="42"/>
    </row>
    <row r="54">
      <c r="A54" s="44"/>
      <c r="B54" s="40" t="s">
        <v>14</v>
      </c>
      <c r="C54" s="93">
        <v>16.62</v>
      </c>
      <c r="D54" s="93" t="s">
        <v>506</v>
      </c>
      <c r="E54" s="41"/>
      <c r="G54" s="42"/>
      <c r="H54" s="42"/>
      <c r="I54" s="42"/>
      <c r="J54" s="42"/>
      <c r="K54" s="42"/>
      <c r="L54" s="42"/>
      <c r="M54" s="42"/>
    </row>
    <row r="55" hidden="1">
      <c r="A55" s="44"/>
      <c r="B55" s="40" t="s">
        <v>15</v>
      </c>
      <c r="C55" s="93">
        <v>74.0</v>
      </c>
      <c r="D55" s="93" t="s">
        <v>64</v>
      </c>
      <c r="E55" s="41"/>
      <c r="G55" s="42"/>
      <c r="H55" s="42"/>
      <c r="I55" s="42"/>
      <c r="J55" s="42"/>
      <c r="K55" s="42"/>
      <c r="L55" s="42"/>
      <c r="M55" s="42"/>
    </row>
    <row r="56" hidden="1">
      <c r="A56" s="44"/>
      <c r="B56" s="40" t="s">
        <v>15</v>
      </c>
      <c r="C56" s="93">
        <v>8.0</v>
      </c>
      <c r="D56" s="93" t="s">
        <v>110</v>
      </c>
      <c r="E56" s="41"/>
      <c r="G56" s="42"/>
      <c r="H56" s="42"/>
      <c r="I56" s="42"/>
      <c r="J56" s="42"/>
      <c r="K56" s="42"/>
      <c r="L56" s="42"/>
      <c r="M56" s="42"/>
    </row>
    <row r="57">
      <c r="A57" s="91"/>
      <c r="B57" s="40" t="s">
        <v>14</v>
      </c>
      <c r="C57" s="93">
        <v>43.0</v>
      </c>
      <c r="D57" s="93" t="s">
        <v>507</v>
      </c>
      <c r="E57" s="41"/>
      <c r="G57" s="42"/>
      <c r="H57" s="42"/>
      <c r="I57" s="42"/>
      <c r="J57" s="42"/>
      <c r="K57" s="42"/>
      <c r="L57" s="42"/>
      <c r="M57" s="42"/>
    </row>
    <row r="58">
      <c r="A58" s="44"/>
      <c r="B58" s="40" t="s">
        <v>25</v>
      </c>
      <c r="C58" s="93">
        <v>5.75</v>
      </c>
      <c r="D58" s="93" t="s">
        <v>142</v>
      </c>
      <c r="E58" s="41"/>
      <c r="G58" s="42"/>
      <c r="H58" s="42"/>
      <c r="I58" s="42"/>
      <c r="J58" s="42"/>
      <c r="K58" s="42"/>
      <c r="L58" s="42"/>
      <c r="M58" s="42"/>
    </row>
    <row r="59" hidden="1">
      <c r="A59" s="44"/>
      <c r="B59" s="40" t="s">
        <v>15</v>
      </c>
      <c r="C59" s="93">
        <v>4.49</v>
      </c>
      <c r="D59" s="93" t="s">
        <v>461</v>
      </c>
      <c r="E59" s="41"/>
      <c r="G59" s="42"/>
      <c r="H59" s="42"/>
      <c r="I59" s="42"/>
      <c r="J59" s="42"/>
      <c r="K59" s="42"/>
      <c r="L59" s="42"/>
      <c r="M59" s="42"/>
    </row>
    <row r="60">
      <c r="A60" s="44"/>
      <c r="B60" s="40" t="s">
        <v>25</v>
      </c>
      <c r="C60" s="93">
        <v>86.0</v>
      </c>
      <c r="D60" s="93" t="s">
        <v>508</v>
      </c>
      <c r="E60" s="41"/>
      <c r="G60" s="42"/>
      <c r="H60" s="42"/>
      <c r="I60" s="42"/>
      <c r="J60" s="42"/>
      <c r="K60" s="42"/>
      <c r="L60" s="42"/>
      <c r="M60" s="42"/>
    </row>
    <row r="61" hidden="1">
      <c r="A61" s="48"/>
      <c r="B61" s="40" t="s">
        <v>17</v>
      </c>
      <c r="C61" s="93">
        <v>7.0</v>
      </c>
      <c r="D61" s="93" t="s">
        <v>509</v>
      </c>
      <c r="E61" s="41"/>
      <c r="G61" s="42"/>
      <c r="H61" s="42"/>
      <c r="I61" s="42"/>
      <c r="J61" s="42"/>
      <c r="K61" s="42"/>
      <c r="L61" s="42"/>
      <c r="M61" s="42"/>
    </row>
    <row r="62" hidden="1">
      <c r="A62" s="48"/>
      <c r="B62" s="40" t="s">
        <v>17</v>
      </c>
      <c r="C62" s="93">
        <v>4.87</v>
      </c>
      <c r="D62" s="93" t="s">
        <v>510</v>
      </c>
      <c r="E62" s="41"/>
      <c r="G62" s="42"/>
      <c r="H62" s="42"/>
      <c r="I62" s="42"/>
      <c r="J62" s="42"/>
      <c r="K62" s="42"/>
      <c r="L62" s="42"/>
      <c r="M62" s="42"/>
    </row>
    <row r="63">
      <c r="A63" s="48"/>
      <c r="B63" s="40" t="s">
        <v>25</v>
      </c>
      <c r="C63" s="93">
        <v>8.65</v>
      </c>
      <c r="D63" s="93" t="s">
        <v>511</v>
      </c>
      <c r="E63" s="41"/>
      <c r="G63" s="42"/>
      <c r="H63" s="42"/>
      <c r="I63" s="42"/>
      <c r="J63" s="42"/>
      <c r="K63" s="42"/>
      <c r="L63" s="42"/>
      <c r="M63" s="42"/>
    </row>
    <row r="64">
      <c r="A64" s="48"/>
      <c r="B64" s="40" t="s">
        <v>25</v>
      </c>
      <c r="C64" s="41">
        <v>60.0</v>
      </c>
      <c r="D64" s="41" t="s">
        <v>512</v>
      </c>
      <c r="E64" s="41"/>
      <c r="G64" s="42"/>
      <c r="H64" s="42"/>
      <c r="I64" s="42"/>
      <c r="J64" s="42"/>
      <c r="K64" s="42"/>
      <c r="L64" s="42"/>
      <c r="M64" s="42"/>
    </row>
    <row r="65" hidden="1">
      <c r="A65" s="44">
        <v>45342.0</v>
      </c>
      <c r="B65" s="40" t="s">
        <v>15</v>
      </c>
      <c r="C65" s="41">
        <v>16.02</v>
      </c>
      <c r="D65" s="41" t="s">
        <v>393</v>
      </c>
      <c r="E65" s="41"/>
      <c r="G65" s="42"/>
      <c r="H65" s="42"/>
      <c r="I65" s="42"/>
      <c r="J65" s="42"/>
      <c r="K65" s="42"/>
      <c r="L65" s="42"/>
      <c r="M65" s="42"/>
    </row>
    <row r="66" hidden="1">
      <c r="A66" s="44">
        <v>45339.0</v>
      </c>
      <c r="B66" s="40" t="s">
        <v>17</v>
      </c>
      <c r="C66" s="41">
        <v>8.05</v>
      </c>
      <c r="D66" s="41" t="s">
        <v>513</v>
      </c>
      <c r="E66" s="41"/>
      <c r="G66" s="42"/>
      <c r="H66" s="42"/>
      <c r="I66" s="42"/>
      <c r="J66" s="42"/>
      <c r="K66" s="42"/>
      <c r="L66" s="42"/>
      <c r="M66" s="42"/>
    </row>
    <row r="67" hidden="1">
      <c r="A67" s="44"/>
      <c r="B67" s="40" t="s">
        <v>17</v>
      </c>
      <c r="C67" s="41">
        <v>30.44</v>
      </c>
      <c r="D67" s="41" t="s">
        <v>514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45342.0</v>
      </c>
      <c r="B68" s="40" t="s">
        <v>25</v>
      </c>
      <c r="C68" s="41">
        <v>58.0</v>
      </c>
      <c r="D68" s="41" t="s">
        <v>515</v>
      </c>
      <c r="E68" s="41"/>
      <c r="G68" s="42"/>
      <c r="H68" s="42"/>
      <c r="I68" s="42"/>
      <c r="J68" s="42"/>
      <c r="K68" s="42"/>
      <c r="L68" s="42"/>
      <c r="M68" s="42"/>
    </row>
    <row r="69" hidden="1">
      <c r="A69" s="44">
        <v>45343.0</v>
      </c>
      <c r="B69" s="40" t="s">
        <v>17</v>
      </c>
      <c r="C69" s="41">
        <v>17.89</v>
      </c>
      <c r="D69" s="41" t="s">
        <v>516</v>
      </c>
      <c r="E69" s="41"/>
      <c r="G69" s="42"/>
      <c r="H69" s="42"/>
      <c r="I69" s="42"/>
      <c r="J69" s="42"/>
      <c r="K69" s="42"/>
      <c r="L69" s="42"/>
      <c r="M69" s="42"/>
    </row>
    <row r="70" hidden="1">
      <c r="A70" s="44"/>
      <c r="B70" s="40" t="s">
        <v>15</v>
      </c>
      <c r="C70" s="41">
        <v>30.57</v>
      </c>
      <c r="D70" s="41" t="s">
        <v>57</v>
      </c>
      <c r="E70" s="41"/>
      <c r="G70" s="42"/>
      <c r="H70" s="42"/>
      <c r="I70" s="42"/>
      <c r="J70" s="42"/>
      <c r="K70" s="42"/>
      <c r="L70" s="42"/>
      <c r="M70" s="42"/>
    </row>
    <row r="71" hidden="1">
      <c r="A71" s="44">
        <v>45351.0</v>
      </c>
      <c r="B71" s="40" t="s">
        <v>17</v>
      </c>
      <c r="C71" s="41">
        <v>19.0</v>
      </c>
      <c r="D71" s="41" t="s">
        <v>517</v>
      </c>
      <c r="E71" s="41"/>
      <c r="G71" s="42"/>
      <c r="H71" s="42"/>
      <c r="I71" s="42"/>
      <c r="J71" s="42"/>
      <c r="K71" s="42"/>
      <c r="L71" s="42"/>
      <c r="M71" s="42"/>
    </row>
    <row r="72" hidden="1">
      <c r="A72" s="44"/>
      <c r="B72" s="40" t="s">
        <v>79</v>
      </c>
      <c r="C72" s="41">
        <v>44.46</v>
      </c>
      <c r="D72" s="41" t="s">
        <v>518</v>
      </c>
      <c r="E72" s="41"/>
      <c r="G72" s="42"/>
      <c r="H72" s="42"/>
      <c r="I72" s="42"/>
      <c r="J72" s="42"/>
      <c r="K72" s="42"/>
      <c r="L72" s="42"/>
      <c r="M72" s="42"/>
    </row>
    <row r="73" hidden="1">
      <c r="A73" s="44"/>
      <c r="B73" s="40" t="s">
        <v>17</v>
      </c>
      <c r="C73" s="41">
        <v>153.0</v>
      </c>
      <c r="D73" s="41" t="s">
        <v>519</v>
      </c>
      <c r="E73" s="41"/>
      <c r="G73" s="42"/>
      <c r="H73" s="42"/>
      <c r="I73" s="42"/>
      <c r="J73" s="42"/>
      <c r="K73" s="42"/>
      <c r="L73" s="42"/>
      <c r="M73" s="42"/>
    </row>
    <row r="74" hidden="1">
      <c r="A74" s="44"/>
      <c r="B74" s="40" t="s">
        <v>17</v>
      </c>
      <c r="C74" s="41">
        <v>13.02</v>
      </c>
      <c r="D74" s="41" t="s">
        <v>520</v>
      </c>
      <c r="E74" s="41"/>
      <c r="G74" s="42"/>
      <c r="H74" s="42"/>
      <c r="I74" s="42"/>
      <c r="J74" s="42"/>
      <c r="K74" s="42"/>
      <c r="L74" s="42"/>
      <c r="M74" s="42"/>
    </row>
    <row r="75">
      <c r="A75" s="44"/>
      <c r="B75" s="40" t="s">
        <v>25</v>
      </c>
      <c r="C75" s="41">
        <v>75.0</v>
      </c>
      <c r="D75" s="41" t="s">
        <v>521</v>
      </c>
      <c r="E75" s="41"/>
      <c r="G75" s="42"/>
      <c r="H75" s="42"/>
      <c r="I75" s="42"/>
      <c r="J75" s="42"/>
      <c r="K75" s="42"/>
      <c r="L75" s="42"/>
      <c r="M75" s="42"/>
    </row>
    <row r="76" hidden="1">
      <c r="A76" s="44"/>
      <c r="B76" s="40" t="s">
        <v>15</v>
      </c>
      <c r="C76" s="41">
        <v>33.0</v>
      </c>
      <c r="D76" s="41" t="s">
        <v>57</v>
      </c>
      <c r="E76" s="41"/>
      <c r="G76" s="42"/>
      <c r="H76" s="42"/>
      <c r="I76" s="42"/>
      <c r="J76" s="42"/>
      <c r="K76" s="42"/>
      <c r="L76" s="42"/>
      <c r="M76" s="42"/>
    </row>
    <row r="77">
      <c r="A77" s="44"/>
      <c r="B77" s="40" t="s">
        <v>25</v>
      </c>
      <c r="C77" s="41">
        <v>25.0</v>
      </c>
      <c r="D77" s="41" t="s">
        <v>522</v>
      </c>
      <c r="E77" s="41"/>
      <c r="G77" s="42"/>
      <c r="H77" s="42"/>
      <c r="I77" s="42"/>
      <c r="J77" s="42"/>
      <c r="K77" s="42"/>
      <c r="L77" s="42"/>
      <c r="M77" s="42"/>
    </row>
    <row r="78" hidden="1">
      <c r="A78" s="44"/>
      <c r="B78" s="40" t="s">
        <v>19</v>
      </c>
      <c r="C78" s="41">
        <v>16.35</v>
      </c>
      <c r="D78" s="41" t="s">
        <v>523</v>
      </c>
      <c r="E78" s="41"/>
      <c r="G78" s="42"/>
      <c r="H78" s="42"/>
      <c r="I78" s="42"/>
      <c r="J78" s="42"/>
      <c r="K78" s="42"/>
      <c r="L78" s="42"/>
      <c r="M78" s="42"/>
    </row>
    <row r="79" hidden="1">
      <c r="A79" s="44"/>
      <c r="B79" s="40" t="s">
        <v>17</v>
      </c>
      <c r="C79" s="41">
        <v>21.69</v>
      </c>
      <c r="D79" s="41" t="s">
        <v>524</v>
      </c>
      <c r="E79" s="41"/>
      <c r="G79" s="42"/>
      <c r="H79" s="42"/>
      <c r="I79" s="42"/>
      <c r="J79" s="42"/>
      <c r="K79" s="42"/>
      <c r="L79" s="42"/>
      <c r="M79" s="42"/>
    </row>
    <row r="80" hidden="1">
      <c r="A80" s="44"/>
      <c r="B80" s="40" t="s">
        <v>17</v>
      </c>
      <c r="C80" s="41">
        <v>36.0</v>
      </c>
      <c r="D80" s="41" t="s">
        <v>525</v>
      </c>
      <c r="E80" s="41"/>
      <c r="G80" s="42"/>
      <c r="H80" s="42"/>
      <c r="I80" s="42"/>
      <c r="J80" s="42"/>
      <c r="K80" s="42"/>
      <c r="L80" s="42"/>
      <c r="M80" s="42"/>
    </row>
    <row r="81" hidden="1">
      <c r="A81" s="44"/>
      <c r="B81" s="40" t="s">
        <v>15</v>
      </c>
      <c r="C81" s="41">
        <v>25.2</v>
      </c>
      <c r="D81" s="41" t="s">
        <v>110</v>
      </c>
      <c r="E81" s="41"/>
      <c r="G81" s="42"/>
      <c r="H81" s="42"/>
      <c r="I81" s="42"/>
      <c r="J81" s="42"/>
      <c r="K81" s="42"/>
      <c r="L81" s="42"/>
      <c r="M81" s="42"/>
    </row>
    <row r="82" hidden="1">
      <c r="A82" s="44"/>
      <c r="B82" s="40" t="s">
        <v>22</v>
      </c>
      <c r="C82" s="41">
        <v>32.26</v>
      </c>
      <c r="D82" s="41" t="s">
        <v>526</v>
      </c>
      <c r="E82" s="41"/>
      <c r="G82" s="42"/>
      <c r="H82" s="42"/>
      <c r="I82" s="42"/>
      <c r="J82" s="42"/>
      <c r="K82" s="42"/>
      <c r="L82" s="42"/>
      <c r="M82" s="42"/>
    </row>
    <row r="83" hidden="1">
      <c r="A83" s="44"/>
      <c r="B83" s="40" t="s">
        <v>15</v>
      </c>
      <c r="C83" s="41">
        <v>9.94</v>
      </c>
      <c r="D83" s="41" t="s">
        <v>110</v>
      </c>
      <c r="E83" s="41"/>
      <c r="G83" s="42"/>
      <c r="H83" s="42"/>
      <c r="I83" s="42"/>
      <c r="J83" s="42"/>
      <c r="K83" s="42"/>
      <c r="L83" s="42"/>
      <c r="M83" s="42"/>
    </row>
    <row r="84" hidden="1">
      <c r="A84" s="44"/>
      <c r="B84" s="40" t="s">
        <v>17</v>
      </c>
      <c r="C84" s="41">
        <v>63.0</v>
      </c>
      <c r="D84" s="41" t="s">
        <v>527</v>
      </c>
      <c r="E84" s="41"/>
      <c r="G84" s="42"/>
      <c r="H84" s="42"/>
      <c r="I84" s="42"/>
      <c r="J84" s="42"/>
      <c r="K84" s="42"/>
      <c r="L84" s="42"/>
      <c r="M84" s="42"/>
    </row>
    <row r="85" hidden="1">
      <c r="A85" s="44"/>
      <c r="B85" s="40" t="s">
        <v>79</v>
      </c>
      <c r="C85" s="41">
        <v>9.96</v>
      </c>
      <c r="D85" s="41" t="s">
        <v>528</v>
      </c>
      <c r="E85" s="41"/>
      <c r="G85" s="42"/>
      <c r="H85" s="42"/>
      <c r="I85" s="42"/>
      <c r="J85" s="42"/>
      <c r="K85" s="42"/>
      <c r="L85" s="42"/>
      <c r="M85" s="42"/>
    </row>
    <row r="86">
      <c r="A86" s="44"/>
      <c r="B86" s="40"/>
      <c r="C86" s="41"/>
      <c r="D86" s="41"/>
      <c r="E86" s="41"/>
      <c r="G86" s="42"/>
      <c r="H86" s="42"/>
      <c r="I86" s="42"/>
      <c r="J86" s="42"/>
      <c r="K86" s="42"/>
      <c r="L86" s="42"/>
      <c r="M86" s="42"/>
    </row>
    <row r="87">
      <c r="A87" s="44"/>
      <c r="B87" s="40"/>
      <c r="C87" s="41"/>
      <c r="D87" s="41"/>
      <c r="E87" s="41"/>
      <c r="G87" s="42"/>
      <c r="H87" s="42"/>
      <c r="I87" s="42"/>
      <c r="J87" s="42"/>
      <c r="K87" s="42"/>
      <c r="L87" s="42"/>
      <c r="M87" s="42"/>
    </row>
    <row r="88">
      <c r="A88" s="44"/>
      <c r="B88" s="40"/>
      <c r="C88" s="41"/>
      <c r="D88" s="41"/>
      <c r="E88" s="41"/>
      <c r="G88" s="42"/>
      <c r="H88" s="42"/>
      <c r="I88" s="42"/>
      <c r="J88" s="42"/>
      <c r="K88" s="42"/>
      <c r="L88" s="42"/>
      <c r="M88" s="42"/>
    </row>
    <row r="89">
      <c r="A89" s="44"/>
      <c r="B89" s="40"/>
      <c r="C89" s="41"/>
      <c r="D89" s="41"/>
      <c r="E89" s="41"/>
      <c r="G89" s="42"/>
      <c r="H89" s="42"/>
      <c r="I89" s="42"/>
      <c r="J89" s="42"/>
      <c r="K89" s="42"/>
      <c r="L89" s="42"/>
      <c r="M89" s="42"/>
    </row>
    <row r="90">
      <c r="A90" s="44"/>
      <c r="B90" s="40"/>
      <c r="C90" s="41"/>
      <c r="D90" s="41"/>
      <c r="E90" s="41"/>
      <c r="G90" s="42"/>
      <c r="H90" s="42"/>
      <c r="I90" s="42"/>
      <c r="J90" s="42"/>
      <c r="K90" s="42"/>
      <c r="L90" s="42"/>
      <c r="M90" s="42"/>
    </row>
    <row r="91">
      <c r="A91" s="44"/>
      <c r="B91" s="40"/>
      <c r="C91" s="41"/>
      <c r="D91" s="41"/>
      <c r="E91" s="41"/>
      <c r="G91" s="42"/>
      <c r="H91" s="42"/>
      <c r="I91" s="42"/>
      <c r="J91" s="42"/>
      <c r="K91" s="42"/>
      <c r="L91" s="42"/>
      <c r="M91" s="42"/>
    </row>
    <row r="92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  <row r="102">
      <c r="A102" s="44"/>
      <c r="B102" s="40"/>
      <c r="C102" s="41"/>
      <c r="D102" s="41"/>
      <c r="E102" s="41"/>
      <c r="G102" s="42"/>
      <c r="H102" s="42"/>
      <c r="I102" s="42"/>
      <c r="J102" s="42"/>
      <c r="K102" s="42"/>
      <c r="L102" s="42"/>
      <c r="M102" s="42"/>
    </row>
    <row r="103">
      <c r="A103" s="44"/>
      <c r="B103" s="40"/>
      <c r="C103" s="41"/>
      <c r="D103" s="41"/>
      <c r="E103" s="41"/>
      <c r="G103" s="42"/>
      <c r="H103" s="42"/>
      <c r="I103" s="42"/>
      <c r="J103" s="42"/>
      <c r="K103" s="42"/>
      <c r="L103" s="42"/>
      <c r="M103" s="42"/>
    </row>
  </sheetData>
  <autoFilter ref="$A$32:$D$85">
    <filterColumn colId="1">
      <filters>
        <filter val="Fun / Misc"/>
        <filter val="Bills"/>
      </filters>
    </filterColumn>
  </autoFilter>
  <mergeCells count="4">
    <mergeCell ref="A1:H2"/>
    <mergeCell ref="A4:D4"/>
    <mergeCell ref="G4:H4"/>
    <mergeCell ref="J4:M4"/>
  </mergeCells>
  <conditionalFormatting sqref="D6:E16">
    <cfRule type="cellIs" dxfId="0" priority="1" operator="greaterThan">
      <formula>0</formula>
    </cfRule>
  </conditionalFormatting>
  <conditionalFormatting sqref="D6:D15 E6:E16">
    <cfRule type="cellIs" dxfId="1" priority="2" operator="lessThan">
      <formula>0</formula>
    </cfRule>
  </conditionalFormatting>
  <dataValidations>
    <dataValidation type="list" allowBlank="1" sqref="B20:B103">
      <formula1>'Hidden list and Figures'!$A$3:$A$15</formula1>
    </dataValidation>
    <dataValidation type="custom" allowBlank="1" showDropDown="1" showInputMessage="1" prompt="Select a date" sqref="A33:A103">
      <formula1>OR(NOT(ISERROR(DATEVALUE(A33))), AND(ISNUMBER(A33), LEFT(CELL("format", A33))="D"))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sumif($B$20:$C$102,A6,$C$20:$C$102)</f>
        <v>4184.196667</v>
      </c>
      <c r="D6" s="17">
        <f t="shared" ref="D6:D15" si="2">B6-C6</f>
        <v>-1520.516667</v>
      </c>
      <c r="E6" s="18">
        <f t="shared" ref="E6:E16" si="3">D6/B6</f>
        <v>-0.5708330831</v>
      </c>
      <c r="G6" s="19" t="s">
        <v>11</v>
      </c>
      <c r="H6" s="14">
        <f>2002*2</f>
        <v>4004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14">
        <f>2024+805+2035</f>
        <v>4864</v>
      </c>
    </row>
    <row r="8">
      <c r="A8" s="21" t="s">
        <v>14</v>
      </c>
      <c r="B8" s="22">
        <v>250.0</v>
      </c>
      <c r="C8" s="22">
        <f t="shared" si="1"/>
        <v>66</v>
      </c>
      <c r="D8" s="23">
        <f t="shared" si="2"/>
        <v>184</v>
      </c>
      <c r="E8" s="18">
        <f t="shared" si="3"/>
        <v>0.736</v>
      </c>
      <c r="G8" s="64" t="s">
        <v>27</v>
      </c>
      <c r="H8" s="92">
        <f>SUM(H6:H7)</f>
        <v>8868</v>
      </c>
    </row>
    <row r="9">
      <c r="A9" s="24" t="s">
        <v>15</v>
      </c>
      <c r="B9" s="22">
        <v>400.0</v>
      </c>
      <c r="C9" s="22">
        <f t="shared" si="1"/>
        <v>244.79</v>
      </c>
      <c r="D9" s="23">
        <f t="shared" si="2"/>
        <v>155.21</v>
      </c>
      <c r="E9" s="18">
        <f t="shared" si="3"/>
        <v>0.388025</v>
      </c>
    </row>
    <row r="10">
      <c r="A10" s="24" t="s">
        <v>17</v>
      </c>
      <c r="B10" s="22">
        <v>400.0</v>
      </c>
      <c r="C10" s="22">
        <f t="shared" si="1"/>
        <v>520.56</v>
      </c>
      <c r="D10" s="23">
        <f t="shared" si="2"/>
        <v>-120.56</v>
      </c>
      <c r="E10" s="18">
        <f t="shared" si="3"/>
        <v>-0.3014</v>
      </c>
      <c r="G10" s="13" t="s">
        <v>16</v>
      </c>
      <c r="H10" s="14"/>
    </row>
    <row r="11">
      <c r="A11" s="22" t="s">
        <v>19</v>
      </c>
      <c r="B11" s="22">
        <v>200.0</v>
      </c>
      <c r="C11" s="22">
        <f t="shared" si="1"/>
        <v>1369.11</v>
      </c>
      <c r="D11" s="23">
        <f t="shared" si="2"/>
        <v>-1169.11</v>
      </c>
      <c r="E11" s="18">
        <f t="shared" si="3"/>
        <v>-5.84555</v>
      </c>
      <c r="G11" s="19" t="s">
        <v>18</v>
      </c>
      <c r="H11" s="14">
        <f>sum(C16)</f>
        <v>9041.876667</v>
      </c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H12" s="14"/>
    </row>
    <row r="13">
      <c r="A13" s="25" t="s">
        <v>22</v>
      </c>
      <c r="B13" s="22">
        <v>200.0</v>
      </c>
      <c r="C13" s="22">
        <f t="shared" ref="C13:C15" si="4">sumif($B$20:$C$102,A13,$C$20:$C$102)</f>
        <v>390.02</v>
      </c>
      <c r="D13" s="23">
        <f t="shared" si="2"/>
        <v>-190.02</v>
      </c>
      <c r="E13" s="18">
        <f t="shared" si="3"/>
        <v>-0.9501</v>
      </c>
      <c r="G13" s="13" t="s">
        <v>21</v>
      </c>
      <c r="H13" s="14"/>
    </row>
    <row r="14">
      <c r="A14" s="26" t="s">
        <v>24</v>
      </c>
      <c r="B14" s="27">
        <v>0.0</v>
      </c>
      <c r="C14" s="22">
        <f t="shared" si="4"/>
        <v>0</v>
      </c>
      <c r="D14" s="23">
        <f t="shared" si="2"/>
        <v>0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1767.2</v>
      </c>
      <c r="D15" s="28">
        <f t="shared" si="2"/>
        <v>-1467.2</v>
      </c>
      <c r="E15" s="18">
        <f t="shared" si="3"/>
        <v>-4.890666667</v>
      </c>
      <c r="H15" s="4"/>
      <c r="I15" s="6"/>
      <c r="J15" s="6"/>
      <c r="K15" s="6"/>
      <c r="L15" s="6"/>
      <c r="M15" s="6"/>
    </row>
    <row r="16">
      <c r="A16" s="30" t="s">
        <v>27</v>
      </c>
      <c r="B16" s="31">
        <f t="shared" ref="B16:D16" si="5">SUM(B6:B15)</f>
        <v>4913.68</v>
      </c>
      <c r="C16" s="31">
        <f t="shared" si="5"/>
        <v>9041.876667</v>
      </c>
      <c r="D16" s="31">
        <f t="shared" si="5"/>
        <v>-4128.196667</v>
      </c>
      <c r="E16" s="18">
        <f t="shared" si="3"/>
        <v>-0.840143572</v>
      </c>
      <c r="F16" s="32"/>
      <c r="G16" s="13" t="s">
        <v>26</v>
      </c>
      <c r="H16" s="47">
        <f>SUMIF($B$20:$C$124,"Travel",$C$20:$C$124)</f>
        <v>469.18</v>
      </c>
      <c r="I16" s="34"/>
      <c r="J16" s="34"/>
      <c r="K16" s="34"/>
      <c r="L16" s="34"/>
      <c r="M16" s="34"/>
    </row>
    <row r="17">
      <c r="A17" s="35"/>
      <c r="B17" s="36"/>
      <c r="C17" s="36"/>
      <c r="D17" s="37"/>
      <c r="E17" s="37"/>
      <c r="F17" s="36"/>
      <c r="G17" s="13" t="s">
        <v>28</v>
      </c>
      <c r="H17" s="33">
        <f>500-SUMIF($B$20:$C$124,"Travel",$C$20:$C$124)+'Feb 2024'!H17</f>
        <v>181.28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f>3720</f>
        <v>3720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40.0</v>
      </c>
      <c r="D21" s="95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97.85</v>
      </c>
      <c r="D22" s="95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/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9.86</v>
      </c>
      <c r="D24" s="95" t="s">
        <v>38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77/12</f>
        <v>6.416666667</v>
      </c>
      <c r="D25" s="41" t="s">
        <v>529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144.0</v>
      </c>
      <c r="D26" s="41" t="s">
        <v>23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2.87</v>
      </c>
      <c r="D27" s="41" t="s">
        <v>39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2.99</v>
      </c>
      <c r="D28" s="41" t="s">
        <v>40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5.83</v>
      </c>
      <c r="D29" s="41" t="s">
        <v>41</v>
      </c>
      <c r="E29" s="41"/>
      <c r="G29" s="42"/>
      <c r="H29" s="42"/>
      <c r="I29" s="42"/>
      <c r="J29" s="42"/>
      <c r="K29" s="42"/>
      <c r="L29" s="42"/>
      <c r="M29" s="42"/>
    </row>
    <row r="30">
      <c r="A30" s="40" t="s">
        <v>32</v>
      </c>
      <c r="B30" s="40" t="s">
        <v>10</v>
      </c>
      <c r="C30" s="41">
        <v>6.25</v>
      </c>
      <c r="D30" s="41" t="s">
        <v>488</v>
      </c>
      <c r="E30" s="41"/>
      <c r="G30" s="42"/>
      <c r="H30" s="42"/>
      <c r="I30" s="42"/>
      <c r="J30" s="42"/>
      <c r="K30" s="42"/>
      <c r="L30" s="42"/>
      <c r="M30" s="42"/>
    </row>
    <row r="31">
      <c r="A31" s="40" t="s">
        <v>32</v>
      </c>
      <c r="B31" s="40" t="s">
        <v>10</v>
      </c>
      <c r="C31" s="41">
        <v>148.13</v>
      </c>
      <c r="D31" s="41" t="s">
        <v>42</v>
      </c>
      <c r="E31" s="41"/>
      <c r="G31" s="42"/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G32" s="42"/>
      <c r="H32" s="42"/>
      <c r="I32" s="42"/>
      <c r="J32" s="42"/>
      <c r="K32" s="42"/>
      <c r="L32" s="42"/>
      <c r="M32" s="42"/>
    </row>
    <row r="33">
      <c r="A33" s="43"/>
      <c r="B33" s="40"/>
      <c r="C33" s="41"/>
      <c r="D33" s="41"/>
      <c r="E33" s="41"/>
      <c r="G33" s="42"/>
      <c r="H33" s="42"/>
      <c r="I33" s="42"/>
      <c r="J33" s="42"/>
      <c r="K33" s="42"/>
      <c r="L33" s="42"/>
      <c r="M33" s="42"/>
    </row>
    <row r="34">
      <c r="A34" s="91">
        <v>45363.0</v>
      </c>
      <c r="B34" s="40" t="s">
        <v>15</v>
      </c>
      <c r="C34" s="41">
        <v>18.78</v>
      </c>
      <c r="D34" s="41" t="s">
        <v>393</v>
      </c>
      <c r="G34" s="42"/>
      <c r="H34" s="42"/>
      <c r="I34" s="42"/>
      <c r="J34" s="42"/>
      <c r="K34" s="42"/>
      <c r="L34" s="42"/>
      <c r="M34" s="42"/>
    </row>
    <row r="35">
      <c r="A35" s="44">
        <v>45368.0</v>
      </c>
      <c r="B35" s="40" t="s">
        <v>19</v>
      </c>
      <c r="C35" s="41">
        <v>19.61</v>
      </c>
      <c r="D35" s="41" t="s">
        <v>530</v>
      </c>
      <c r="G35" s="42"/>
      <c r="H35" s="42"/>
      <c r="I35" s="42"/>
      <c r="J35" s="42"/>
      <c r="K35" s="42"/>
      <c r="L35" s="42"/>
      <c r="M35" s="42"/>
    </row>
    <row r="36">
      <c r="A36" s="80">
        <v>45367.0</v>
      </c>
      <c r="B36" s="40" t="s">
        <v>19</v>
      </c>
      <c r="C36" s="41">
        <v>35.51</v>
      </c>
      <c r="D36" s="41" t="s">
        <v>530</v>
      </c>
      <c r="G36" s="42"/>
      <c r="H36" s="42"/>
      <c r="I36" s="42"/>
      <c r="J36" s="42"/>
      <c r="K36" s="42"/>
      <c r="L36" s="42"/>
      <c r="M36" s="42"/>
    </row>
    <row r="37">
      <c r="A37" s="44">
        <v>45370.0</v>
      </c>
      <c r="B37" s="40" t="s">
        <v>15</v>
      </c>
      <c r="C37" s="93">
        <v>55.01</v>
      </c>
      <c r="D37" s="93" t="s">
        <v>531</v>
      </c>
      <c r="G37" s="42"/>
      <c r="H37" s="42"/>
      <c r="I37" s="42"/>
      <c r="J37" s="42"/>
      <c r="K37" s="42"/>
      <c r="L37" s="42"/>
      <c r="M37" s="42"/>
    </row>
    <row r="38">
      <c r="A38" s="44">
        <v>45360.0</v>
      </c>
      <c r="B38" s="40" t="s">
        <v>25</v>
      </c>
      <c r="C38" s="93">
        <v>172.66</v>
      </c>
      <c r="D38" s="93" t="s">
        <v>532</v>
      </c>
      <c r="G38" s="42"/>
      <c r="H38" s="42"/>
      <c r="I38" s="42"/>
      <c r="J38" s="42"/>
      <c r="K38" s="42"/>
      <c r="L38" s="42"/>
      <c r="M38" s="42"/>
    </row>
    <row r="39">
      <c r="A39" s="44">
        <v>45362.0</v>
      </c>
      <c r="B39" s="40" t="s">
        <v>25</v>
      </c>
      <c r="C39" s="93">
        <v>5.75</v>
      </c>
      <c r="D39" s="93" t="s">
        <v>533</v>
      </c>
      <c r="G39" s="42"/>
      <c r="H39" s="42"/>
      <c r="I39" s="42"/>
      <c r="J39" s="42"/>
      <c r="K39" s="42"/>
      <c r="L39" s="42"/>
      <c r="M39" s="42"/>
    </row>
    <row r="40">
      <c r="A40" s="44"/>
      <c r="B40" s="40" t="s">
        <v>79</v>
      </c>
      <c r="C40" s="93">
        <v>247.78</v>
      </c>
      <c r="D40" s="93" t="s">
        <v>534</v>
      </c>
      <c r="G40" s="42"/>
      <c r="H40" s="42"/>
      <c r="I40" s="42"/>
      <c r="J40" s="42"/>
      <c r="K40" s="42"/>
      <c r="L40" s="42"/>
      <c r="M40" s="42"/>
    </row>
    <row r="41">
      <c r="A41" s="48"/>
      <c r="B41" s="40" t="s">
        <v>17</v>
      </c>
      <c r="C41" s="93">
        <v>28.01</v>
      </c>
      <c r="D41" s="93" t="s">
        <v>535</v>
      </c>
      <c r="G41" s="42"/>
      <c r="H41" s="42"/>
      <c r="I41" s="42"/>
      <c r="J41" s="42"/>
      <c r="K41" s="42"/>
      <c r="L41" s="42"/>
      <c r="M41" s="42"/>
    </row>
    <row r="42">
      <c r="A42" s="44"/>
      <c r="B42" s="40" t="s">
        <v>17</v>
      </c>
      <c r="C42" s="93">
        <v>67.07</v>
      </c>
      <c r="D42" s="93" t="s">
        <v>536</v>
      </c>
      <c r="G42" s="42"/>
      <c r="H42" s="42"/>
      <c r="I42" s="42"/>
      <c r="J42" s="42"/>
      <c r="K42" s="42"/>
      <c r="L42" s="42"/>
      <c r="M42" s="42"/>
    </row>
    <row r="43">
      <c r="A43" s="44"/>
      <c r="B43" s="40" t="s">
        <v>17</v>
      </c>
      <c r="C43" s="93">
        <v>35.75</v>
      </c>
      <c r="D43" s="93" t="s">
        <v>537</v>
      </c>
      <c r="G43" s="42"/>
      <c r="H43" s="42"/>
      <c r="I43" s="42"/>
      <c r="J43" s="42"/>
      <c r="K43" s="42"/>
      <c r="L43" s="42"/>
      <c r="M43" s="42"/>
    </row>
    <row r="44">
      <c r="A44" s="44"/>
      <c r="B44" s="40" t="s">
        <v>25</v>
      </c>
      <c r="C44" s="93">
        <v>27.79</v>
      </c>
      <c r="D44" s="93" t="s">
        <v>538</v>
      </c>
      <c r="G44" s="42"/>
      <c r="H44" s="42"/>
      <c r="I44" s="42"/>
      <c r="J44" s="42"/>
      <c r="K44" s="42"/>
      <c r="L44" s="42"/>
      <c r="M44" s="42"/>
    </row>
    <row r="45">
      <c r="A45" s="44"/>
      <c r="B45" s="40" t="s">
        <v>25</v>
      </c>
      <c r="C45" s="93">
        <v>800.0</v>
      </c>
      <c r="D45" s="93" t="s">
        <v>539</v>
      </c>
      <c r="G45" s="42"/>
      <c r="H45" s="42"/>
      <c r="I45" s="42"/>
      <c r="J45" s="42"/>
      <c r="K45" s="42"/>
      <c r="L45" s="42"/>
      <c r="M45" s="42"/>
    </row>
    <row r="46">
      <c r="A46" s="44"/>
      <c r="B46" s="40" t="s">
        <v>25</v>
      </c>
      <c r="C46" s="93">
        <v>380.0</v>
      </c>
      <c r="D46" s="93" t="s">
        <v>540</v>
      </c>
      <c r="G46" s="42"/>
      <c r="H46" s="42"/>
      <c r="I46" s="42"/>
      <c r="J46" s="42"/>
      <c r="K46" s="42"/>
      <c r="L46" s="42"/>
      <c r="M46" s="42"/>
    </row>
    <row r="47">
      <c r="A47" s="44"/>
      <c r="B47" s="40" t="s">
        <v>17</v>
      </c>
      <c r="C47" s="93">
        <v>30.0</v>
      </c>
      <c r="D47" s="93" t="s">
        <v>541</v>
      </c>
      <c r="G47" s="42"/>
      <c r="H47" s="42"/>
      <c r="I47" s="42"/>
      <c r="J47" s="42"/>
      <c r="K47" s="42"/>
      <c r="L47" s="42"/>
      <c r="M47" s="42"/>
    </row>
    <row r="48">
      <c r="A48" s="44"/>
      <c r="B48" s="40" t="s">
        <v>22</v>
      </c>
      <c r="C48" s="93">
        <v>38.0</v>
      </c>
      <c r="D48" s="93" t="s">
        <v>542</v>
      </c>
      <c r="G48" s="42"/>
      <c r="H48" s="42"/>
      <c r="I48" s="42"/>
      <c r="J48" s="42"/>
      <c r="K48" s="42"/>
      <c r="L48" s="42"/>
      <c r="M48" s="42"/>
    </row>
    <row r="49">
      <c r="A49" s="44"/>
      <c r="B49" s="40" t="s">
        <v>25</v>
      </c>
      <c r="C49" s="93">
        <v>30.0</v>
      </c>
      <c r="D49" s="93" t="s">
        <v>543</v>
      </c>
      <c r="G49" s="42"/>
      <c r="H49" s="42"/>
      <c r="I49" s="42"/>
      <c r="J49" s="42"/>
      <c r="K49" s="42"/>
      <c r="L49" s="42"/>
      <c r="M49" s="42"/>
    </row>
    <row r="50">
      <c r="A50" s="44"/>
      <c r="B50" s="40" t="s">
        <v>22</v>
      </c>
      <c r="C50" s="93">
        <v>16.0</v>
      </c>
      <c r="D50" s="93" t="s">
        <v>544</v>
      </c>
      <c r="E50" s="90"/>
      <c r="G50" s="42"/>
      <c r="H50" s="42"/>
      <c r="I50" s="42"/>
      <c r="J50" s="42"/>
      <c r="K50" s="42"/>
      <c r="L50" s="42"/>
      <c r="M50" s="42"/>
    </row>
    <row r="51">
      <c r="A51" s="44"/>
      <c r="B51" s="40" t="s">
        <v>25</v>
      </c>
      <c r="C51" s="93">
        <v>45.0</v>
      </c>
      <c r="D51" s="93" t="s">
        <v>545</v>
      </c>
      <c r="E51" s="90"/>
      <c r="G51" s="42"/>
      <c r="H51" s="42"/>
      <c r="I51" s="42"/>
      <c r="J51" s="42"/>
      <c r="K51" s="42"/>
      <c r="L51" s="42"/>
      <c r="M51" s="42"/>
    </row>
    <row r="52">
      <c r="A52" s="44"/>
      <c r="B52" s="40" t="s">
        <v>17</v>
      </c>
      <c r="C52" s="93">
        <v>5.75</v>
      </c>
      <c r="D52" s="93" t="s">
        <v>546</v>
      </c>
      <c r="E52" s="90"/>
      <c r="G52" s="42"/>
      <c r="H52" s="42"/>
      <c r="I52" s="42"/>
      <c r="J52" s="42"/>
      <c r="K52" s="42"/>
      <c r="L52" s="42"/>
      <c r="M52" s="42"/>
    </row>
    <row r="53">
      <c r="A53" s="44"/>
      <c r="B53" s="40" t="s">
        <v>19</v>
      </c>
      <c r="C53" s="93">
        <v>815.0</v>
      </c>
      <c r="D53" s="93" t="s">
        <v>57</v>
      </c>
      <c r="E53" s="90"/>
      <c r="G53" s="42"/>
      <c r="H53" s="42"/>
      <c r="I53" s="42"/>
      <c r="J53" s="42"/>
      <c r="K53" s="42"/>
      <c r="L53" s="42"/>
      <c r="M53" s="42"/>
    </row>
    <row r="54">
      <c r="A54" s="44"/>
      <c r="B54" s="40" t="s">
        <v>19</v>
      </c>
      <c r="C54" s="93">
        <v>17.0</v>
      </c>
      <c r="D54" s="93" t="s">
        <v>547</v>
      </c>
      <c r="E54" s="41"/>
      <c r="G54" s="42"/>
      <c r="H54" s="42"/>
      <c r="I54" s="42"/>
      <c r="J54" s="42"/>
      <c r="K54" s="42"/>
      <c r="L54" s="42"/>
      <c r="M54" s="42"/>
    </row>
    <row r="55">
      <c r="A55" s="44"/>
      <c r="B55" s="40" t="s">
        <v>22</v>
      </c>
      <c r="C55" s="93">
        <v>37.0</v>
      </c>
      <c r="D55" s="93" t="s">
        <v>544</v>
      </c>
      <c r="E55" s="41"/>
      <c r="G55" s="42"/>
      <c r="H55" s="42"/>
      <c r="I55" s="42"/>
      <c r="J55" s="42"/>
      <c r="K55" s="42"/>
      <c r="L55" s="42"/>
      <c r="M55" s="42"/>
    </row>
    <row r="56">
      <c r="A56" s="44"/>
      <c r="B56" s="40" t="s">
        <v>19</v>
      </c>
      <c r="C56" s="93">
        <v>70.0</v>
      </c>
      <c r="D56" s="93" t="s">
        <v>57</v>
      </c>
      <c r="E56" s="41"/>
      <c r="G56" s="42"/>
      <c r="H56" s="42"/>
      <c r="I56" s="42"/>
      <c r="J56" s="42"/>
      <c r="K56" s="42"/>
      <c r="L56" s="42"/>
      <c r="M56" s="42"/>
    </row>
    <row r="57">
      <c r="A57" s="44"/>
      <c r="B57" s="40" t="s">
        <v>19</v>
      </c>
      <c r="C57" s="93">
        <v>27.0</v>
      </c>
      <c r="D57" s="93" t="s">
        <v>547</v>
      </c>
      <c r="E57" s="41"/>
      <c r="G57" s="42"/>
      <c r="H57" s="42"/>
      <c r="I57" s="42"/>
      <c r="J57" s="42"/>
      <c r="K57" s="42"/>
      <c r="L57" s="42"/>
      <c r="M57" s="42"/>
    </row>
    <row r="58">
      <c r="A58" s="91"/>
      <c r="B58" s="40" t="s">
        <v>17</v>
      </c>
      <c r="C58" s="93">
        <v>30.0</v>
      </c>
      <c r="D58" s="93" t="s">
        <v>546</v>
      </c>
      <c r="E58" s="41"/>
      <c r="G58" s="42"/>
      <c r="H58" s="42"/>
      <c r="I58" s="42"/>
      <c r="J58" s="42"/>
      <c r="K58" s="42"/>
      <c r="L58" s="42"/>
      <c r="M58" s="42"/>
    </row>
    <row r="59">
      <c r="A59" s="44"/>
      <c r="B59" s="40" t="s">
        <v>22</v>
      </c>
      <c r="C59" s="93">
        <v>62.0</v>
      </c>
      <c r="D59" s="93" t="s">
        <v>548</v>
      </c>
      <c r="E59" s="41"/>
      <c r="G59" s="42"/>
      <c r="H59" s="42"/>
      <c r="I59" s="42"/>
      <c r="J59" s="42"/>
      <c r="K59" s="42"/>
      <c r="L59" s="42"/>
      <c r="M59" s="42"/>
    </row>
    <row r="60">
      <c r="A60" s="44"/>
      <c r="B60" s="40" t="s">
        <v>17</v>
      </c>
      <c r="C60" s="93">
        <v>16.0</v>
      </c>
      <c r="D60" s="93" t="s">
        <v>546</v>
      </c>
      <c r="E60" s="41"/>
      <c r="G60" s="42"/>
      <c r="H60" s="42"/>
      <c r="I60" s="42"/>
      <c r="J60" s="42"/>
      <c r="K60" s="42"/>
      <c r="L60" s="42"/>
      <c r="M60" s="42"/>
    </row>
    <row r="61">
      <c r="A61" s="44"/>
      <c r="B61" s="40" t="s">
        <v>22</v>
      </c>
      <c r="C61" s="93">
        <v>144.0</v>
      </c>
      <c r="D61" s="93" t="s">
        <v>549</v>
      </c>
      <c r="E61" s="41"/>
      <c r="G61" s="42"/>
      <c r="H61" s="42"/>
      <c r="I61" s="42"/>
      <c r="J61" s="42"/>
      <c r="K61" s="42"/>
      <c r="L61" s="42"/>
      <c r="M61" s="42"/>
    </row>
    <row r="62">
      <c r="A62" s="48"/>
      <c r="B62" s="40" t="s">
        <v>17</v>
      </c>
      <c r="C62" s="93">
        <v>25.31</v>
      </c>
      <c r="D62" s="93" t="s">
        <v>550</v>
      </c>
      <c r="E62" s="41"/>
      <c r="G62" s="42"/>
      <c r="H62" s="42"/>
      <c r="I62" s="42"/>
      <c r="J62" s="42"/>
      <c r="K62" s="42"/>
      <c r="L62" s="42"/>
      <c r="M62" s="42"/>
    </row>
    <row r="63">
      <c r="A63" s="48"/>
      <c r="B63" s="40" t="s">
        <v>22</v>
      </c>
      <c r="C63" s="93">
        <v>18.8</v>
      </c>
      <c r="D63" s="93" t="s">
        <v>551</v>
      </c>
      <c r="E63" s="41"/>
      <c r="G63" s="42"/>
      <c r="H63" s="42"/>
      <c r="I63" s="42"/>
      <c r="J63" s="42"/>
      <c r="K63" s="42"/>
      <c r="L63" s="42"/>
      <c r="M63" s="42"/>
    </row>
    <row r="64">
      <c r="A64" s="48"/>
      <c r="B64" s="40" t="s">
        <v>25</v>
      </c>
      <c r="C64" s="93">
        <v>242.0</v>
      </c>
      <c r="D64" s="93" t="s">
        <v>552</v>
      </c>
      <c r="E64" s="41"/>
      <c r="G64" s="42"/>
      <c r="H64" s="42"/>
      <c r="I64" s="42"/>
      <c r="J64" s="42"/>
      <c r="K64" s="42"/>
      <c r="L64" s="42"/>
      <c r="M64" s="42"/>
    </row>
    <row r="65">
      <c r="A65" s="48"/>
      <c r="B65" s="40" t="s">
        <v>19</v>
      </c>
      <c r="C65" s="41">
        <v>270.0</v>
      </c>
      <c r="D65" s="41" t="s">
        <v>553</v>
      </c>
      <c r="E65" s="41"/>
      <c r="G65" s="42"/>
      <c r="H65" s="42"/>
      <c r="I65" s="42"/>
      <c r="J65" s="42"/>
      <c r="K65" s="42"/>
      <c r="L65" s="42"/>
      <c r="M65" s="42"/>
    </row>
    <row r="66">
      <c r="A66" s="44"/>
      <c r="B66" s="40" t="s">
        <v>17</v>
      </c>
      <c r="C66" s="93">
        <v>43.5</v>
      </c>
      <c r="D66" s="93" t="s">
        <v>554</v>
      </c>
      <c r="E66" s="41"/>
      <c r="G66" s="42"/>
      <c r="H66" s="42"/>
      <c r="I66" s="42"/>
      <c r="J66" s="42"/>
      <c r="K66" s="42"/>
      <c r="L66" s="42"/>
      <c r="M66" s="42"/>
    </row>
    <row r="67">
      <c r="A67" s="44"/>
      <c r="B67" s="40" t="s">
        <v>19</v>
      </c>
      <c r="C67" s="41">
        <v>97.0</v>
      </c>
      <c r="D67" s="41" t="s">
        <v>547</v>
      </c>
      <c r="E67" s="41"/>
      <c r="G67" s="42"/>
      <c r="H67" s="42"/>
      <c r="I67" s="42"/>
      <c r="J67" s="42"/>
      <c r="K67" s="42"/>
      <c r="L67" s="42"/>
      <c r="M67" s="42"/>
    </row>
    <row r="68">
      <c r="A68" s="44"/>
      <c r="B68" s="40" t="s">
        <v>25</v>
      </c>
      <c r="C68" s="41">
        <v>54.0</v>
      </c>
      <c r="D68" s="41" t="s">
        <v>555</v>
      </c>
      <c r="E68" s="41"/>
      <c r="G68" s="42"/>
      <c r="H68" s="42"/>
      <c r="I68" s="42"/>
      <c r="J68" s="42"/>
      <c r="K68" s="42"/>
      <c r="L68" s="42"/>
      <c r="M68" s="42"/>
    </row>
    <row r="69">
      <c r="A69" s="44"/>
      <c r="B69" s="40" t="s">
        <v>22</v>
      </c>
      <c r="C69" s="41">
        <v>18.0</v>
      </c>
      <c r="D69" s="41" t="s">
        <v>528</v>
      </c>
      <c r="E69" s="41"/>
      <c r="G69" s="42"/>
      <c r="H69" s="42"/>
      <c r="I69" s="42"/>
      <c r="J69" s="42"/>
      <c r="K69" s="42"/>
      <c r="L69" s="42"/>
      <c r="M69" s="42"/>
    </row>
    <row r="70">
      <c r="A70" s="44"/>
      <c r="B70" s="40" t="s">
        <v>79</v>
      </c>
      <c r="C70" s="41">
        <v>166.6</v>
      </c>
      <c r="D70" s="41" t="s">
        <v>556</v>
      </c>
      <c r="E70" s="41"/>
      <c r="G70" s="42"/>
      <c r="H70" s="42"/>
      <c r="I70" s="42"/>
      <c r="J70" s="42"/>
      <c r="K70" s="42"/>
      <c r="L70" s="42"/>
      <c r="M70" s="42"/>
    </row>
    <row r="71">
      <c r="A71" s="44"/>
      <c r="B71" s="40" t="s">
        <v>25</v>
      </c>
      <c r="C71" s="41">
        <v>10.0</v>
      </c>
      <c r="D71" s="41" t="s">
        <v>557</v>
      </c>
      <c r="E71" s="41"/>
      <c r="G71" s="42"/>
      <c r="H71" s="42"/>
      <c r="I71" s="42"/>
      <c r="J71" s="42"/>
      <c r="K71" s="42"/>
      <c r="L71" s="42"/>
      <c r="M71" s="42"/>
    </row>
    <row r="72">
      <c r="A72" s="44"/>
      <c r="B72" s="40" t="s">
        <v>17</v>
      </c>
      <c r="C72" s="41">
        <v>11.27</v>
      </c>
      <c r="D72" s="41" t="s">
        <v>558</v>
      </c>
      <c r="E72" s="41"/>
      <c r="G72" s="42"/>
      <c r="H72" s="42"/>
      <c r="I72" s="42"/>
      <c r="J72" s="42"/>
      <c r="K72" s="42"/>
      <c r="L72" s="42"/>
      <c r="M72" s="42"/>
    </row>
    <row r="73">
      <c r="A73" s="80">
        <v>45375.0</v>
      </c>
      <c r="B73" s="40" t="s">
        <v>17</v>
      </c>
      <c r="C73" s="41">
        <v>60.0</v>
      </c>
      <c r="D73" s="41" t="s">
        <v>559</v>
      </c>
      <c r="E73" s="41"/>
      <c r="G73" s="42"/>
      <c r="H73" s="42"/>
      <c r="I73" s="42"/>
      <c r="J73" s="42"/>
      <c r="K73" s="42"/>
      <c r="L73" s="42"/>
      <c r="M73" s="42"/>
    </row>
    <row r="74">
      <c r="A74" s="44">
        <v>45376.0</v>
      </c>
      <c r="B74" s="40" t="s">
        <v>19</v>
      </c>
      <c r="C74" s="41">
        <v>5.0</v>
      </c>
      <c r="D74" s="41" t="s">
        <v>560</v>
      </c>
      <c r="E74" s="41"/>
      <c r="G74" s="42"/>
      <c r="H74" s="42"/>
      <c r="I74" s="42"/>
      <c r="J74" s="42"/>
      <c r="K74" s="42"/>
      <c r="L74" s="42"/>
      <c r="M74" s="42"/>
    </row>
    <row r="75">
      <c r="A75" s="44"/>
      <c r="B75" s="40" t="s">
        <v>14</v>
      </c>
      <c r="C75" s="41">
        <v>66.0</v>
      </c>
      <c r="D75" s="41" t="s">
        <v>561</v>
      </c>
      <c r="E75" s="41"/>
      <c r="G75" s="42"/>
      <c r="H75" s="42"/>
      <c r="I75" s="42"/>
      <c r="J75" s="42"/>
      <c r="K75" s="42"/>
      <c r="L75" s="42"/>
      <c r="M75" s="42"/>
    </row>
    <row r="76">
      <c r="A76" s="44"/>
      <c r="B76" s="40" t="s">
        <v>15</v>
      </c>
      <c r="C76" s="41">
        <v>-100.0</v>
      </c>
      <c r="D76" s="41" t="s">
        <v>562</v>
      </c>
      <c r="E76" s="41"/>
      <c r="G76" s="42"/>
      <c r="H76" s="42"/>
      <c r="I76" s="42"/>
      <c r="J76" s="42"/>
      <c r="K76" s="42"/>
      <c r="L76" s="42"/>
      <c r="M76" s="42"/>
    </row>
    <row r="77">
      <c r="A77" s="44"/>
      <c r="B77" s="40" t="s">
        <v>19</v>
      </c>
      <c r="C77" s="41">
        <v>6.0</v>
      </c>
      <c r="D77" s="41" t="s">
        <v>563</v>
      </c>
      <c r="E77" s="41"/>
      <c r="G77" s="42"/>
      <c r="H77" s="42"/>
      <c r="I77" s="42"/>
      <c r="J77" s="42"/>
      <c r="K77" s="42"/>
      <c r="L77" s="42"/>
      <c r="M77" s="42"/>
    </row>
    <row r="78">
      <c r="A78" s="44"/>
      <c r="B78" s="40" t="s">
        <v>15</v>
      </c>
      <c r="C78" s="41">
        <v>271.0</v>
      </c>
      <c r="D78" s="41" t="s">
        <v>47</v>
      </c>
      <c r="E78" s="41"/>
      <c r="G78" s="42"/>
      <c r="H78" s="42"/>
      <c r="I78" s="42"/>
      <c r="J78" s="42"/>
      <c r="K78" s="42"/>
      <c r="L78" s="42"/>
      <c r="M78" s="42"/>
    </row>
    <row r="79">
      <c r="A79" s="44"/>
      <c r="B79" s="40"/>
      <c r="C79" s="41"/>
      <c r="D79" s="41"/>
      <c r="E79" s="41"/>
      <c r="G79" s="42"/>
      <c r="H79" s="42"/>
      <c r="I79" s="42"/>
      <c r="J79" s="42"/>
      <c r="K79" s="42"/>
      <c r="L79" s="42"/>
      <c r="M79" s="42"/>
    </row>
    <row r="80">
      <c r="A80" s="44"/>
      <c r="B80" s="40" t="s">
        <v>17</v>
      </c>
      <c r="C80" s="41">
        <v>7.0</v>
      </c>
      <c r="D80" s="41" t="s">
        <v>47</v>
      </c>
      <c r="E80" s="41"/>
      <c r="G80" s="42"/>
      <c r="H80" s="42"/>
      <c r="I80" s="42"/>
      <c r="J80" s="42"/>
      <c r="K80" s="42"/>
      <c r="L80" s="42"/>
      <c r="M80" s="42"/>
    </row>
    <row r="81">
      <c r="A81" s="44"/>
      <c r="B81" s="40" t="s">
        <v>17</v>
      </c>
      <c r="C81" s="41">
        <v>12.66</v>
      </c>
      <c r="D81" s="41" t="s">
        <v>558</v>
      </c>
      <c r="E81" s="41"/>
      <c r="G81" s="42"/>
      <c r="H81" s="42"/>
      <c r="I81" s="42"/>
      <c r="J81" s="42"/>
      <c r="K81" s="42"/>
      <c r="L81" s="42"/>
      <c r="M81" s="42"/>
    </row>
    <row r="82">
      <c r="A82" s="44"/>
      <c r="B82" s="40" t="s">
        <v>17</v>
      </c>
      <c r="C82" s="41">
        <v>14.73</v>
      </c>
      <c r="D82" s="41" t="s">
        <v>564</v>
      </c>
      <c r="E82" s="41"/>
      <c r="G82" s="42"/>
      <c r="H82" s="42"/>
      <c r="I82" s="42"/>
      <c r="J82" s="42"/>
      <c r="K82" s="42"/>
      <c r="L82" s="42"/>
      <c r="M82" s="42"/>
    </row>
    <row r="83">
      <c r="A83" s="44"/>
      <c r="B83" s="40" t="s">
        <v>79</v>
      </c>
      <c r="C83" s="41">
        <v>54.8</v>
      </c>
      <c r="D83" s="41" t="s">
        <v>565</v>
      </c>
      <c r="E83" s="41"/>
      <c r="G83" s="42"/>
      <c r="H83" s="42"/>
      <c r="I83" s="42"/>
      <c r="J83" s="42"/>
      <c r="K83" s="42"/>
      <c r="L83" s="42"/>
      <c r="M83" s="42"/>
    </row>
    <row r="84">
      <c r="A84" s="44"/>
      <c r="B84" s="40" t="s">
        <v>17</v>
      </c>
      <c r="C84" s="41">
        <v>28.0</v>
      </c>
      <c r="D84" s="41" t="s">
        <v>566</v>
      </c>
      <c r="E84" s="41"/>
      <c r="G84" s="42"/>
      <c r="H84" s="42"/>
      <c r="I84" s="42"/>
      <c r="J84" s="42"/>
      <c r="K84" s="42"/>
      <c r="L84" s="42"/>
      <c r="M84" s="42"/>
    </row>
    <row r="85">
      <c r="A85" s="44"/>
      <c r="B85" s="40" t="s">
        <v>17</v>
      </c>
      <c r="C85" s="41">
        <v>4.71</v>
      </c>
      <c r="D85" s="41" t="s">
        <v>567</v>
      </c>
      <c r="E85" s="41"/>
      <c r="G85" s="42"/>
      <c r="H85" s="42"/>
      <c r="I85" s="42"/>
      <c r="J85" s="42"/>
      <c r="K85" s="42"/>
      <c r="L85" s="42"/>
      <c r="M85" s="42"/>
    </row>
    <row r="86">
      <c r="A86" s="44"/>
      <c r="B86" s="40" t="s">
        <v>19</v>
      </c>
      <c r="C86" s="41">
        <v>6.99</v>
      </c>
      <c r="D86" s="41" t="s">
        <v>98</v>
      </c>
      <c r="E86" s="41"/>
      <c r="G86" s="42"/>
      <c r="H86" s="42"/>
      <c r="I86" s="42"/>
      <c r="J86" s="42"/>
      <c r="K86" s="42"/>
      <c r="L86" s="42"/>
      <c r="M86" s="42"/>
    </row>
    <row r="87">
      <c r="A87" s="44"/>
      <c r="B87" s="40" t="s">
        <v>17</v>
      </c>
      <c r="C87" s="41">
        <v>65.0</v>
      </c>
      <c r="D87" s="41" t="s">
        <v>568</v>
      </c>
      <c r="E87" s="41"/>
      <c r="G87" s="42"/>
      <c r="H87" s="42"/>
      <c r="I87" s="42"/>
      <c r="J87" s="42"/>
      <c r="K87" s="42"/>
      <c r="L87" s="42"/>
      <c r="M87" s="42"/>
    </row>
    <row r="88">
      <c r="A88" s="44"/>
      <c r="B88" s="40" t="s">
        <v>17</v>
      </c>
      <c r="C88" s="41">
        <v>18.0</v>
      </c>
      <c r="D88" s="41" t="s">
        <v>569</v>
      </c>
      <c r="E88" s="41"/>
      <c r="G88" s="42"/>
      <c r="H88" s="42"/>
      <c r="I88" s="42"/>
      <c r="J88" s="42"/>
      <c r="K88" s="42"/>
      <c r="L88" s="42"/>
      <c r="M88" s="42"/>
    </row>
    <row r="89">
      <c r="A89" s="44"/>
      <c r="B89" s="40" t="s">
        <v>22</v>
      </c>
      <c r="C89" s="41">
        <v>56.22</v>
      </c>
      <c r="D89" s="41" t="s">
        <v>565</v>
      </c>
      <c r="E89" s="41"/>
      <c r="G89" s="42"/>
      <c r="H89" s="42"/>
      <c r="I89" s="42"/>
      <c r="J89" s="42"/>
      <c r="K89" s="42"/>
      <c r="L89" s="42"/>
      <c r="M89" s="42"/>
    </row>
    <row r="90">
      <c r="A90" s="44"/>
      <c r="B90" s="40" t="s">
        <v>17</v>
      </c>
      <c r="C90" s="41">
        <v>9.32</v>
      </c>
      <c r="D90" s="41" t="s">
        <v>570</v>
      </c>
      <c r="E90" s="41"/>
      <c r="G90" s="42"/>
      <c r="H90" s="42"/>
      <c r="I90" s="42"/>
      <c r="J90" s="42"/>
      <c r="K90" s="42"/>
      <c r="L90" s="42"/>
      <c r="M90" s="42"/>
    </row>
    <row r="91">
      <c r="A91" s="44"/>
      <c r="B91" s="40" t="s">
        <v>17</v>
      </c>
      <c r="C91" s="41">
        <v>8.48</v>
      </c>
      <c r="D91" s="41" t="s">
        <v>570</v>
      </c>
      <c r="E91" s="41"/>
      <c r="G91" s="42"/>
      <c r="H91" s="42"/>
      <c r="I91" s="42"/>
      <c r="J91" s="42"/>
      <c r="K91" s="42"/>
      <c r="L91" s="42"/>
      <c r="M91" s="42"/>
    </row>
    <row r="92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  <row r="102">
      <c r="A102" s="44"/>
      <c r="B102" s="40"/>
      <c r="C102" s="41"/>
      <c r="D102" s="41"/>
      <c r="E102" s="41"/>
      <c r="G102" s="42"/>
      <c r="H102" s="42"/>
      <c r="I102" s="42"/>
      <c r="J102" s="42"/>
      <c r="K102" s="42"/>
      <c r="L102" s="42"/>
      <c r="M102" s="42"/>
    </row>
  </sheetData>
  <autoFilter ref="$A$33:$D$92"/>
  <mergeCells count="4">
    <mergeCell ref="A1:H2"/>
    <mergeCell ref="A4:D4"/>
    <mergeCell ref="G4:H4"/>
    <mergeCell ref="J4:M4"/>
  </mergeCells>
  <conditionalFormatting sqref="D6:E16">
    <cfRule type="cellIs" dxfId="0" priority="1" operator="greaterThan">
      <formula>0</formula>
    </cfRule>
  </conditionalFormatting>
  <conditionalFormatting sqref="D6:D15 E6:E16">
    <cfRule type="cellIs" dxfId="1" priority="2" operator="lessThan">
      <formula>0</formula>
    </cfRule>
  </conditionalFormatting>
  <dataValidations>
    <dataValidation type="list" allowBlank="1" sqref="B20:B102">
      <formula1>'Hidden list and Figures'!$A$3:$A$15</formula1>
    </dataValidation>
    <dataValidation type="custom" allowBlank="1" showDropDown="1" showInputMessage="1" prompt="Select a date" sqref="A34:A102">
      <formula1>OR(NOT(ISERROR(DATEVALUE(A34))), AND(ISNUMBER(A34), LEFT(CELL("format", A34))="D"))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sumif($B$20:$C$102,A6,$C$20:$C$102)</f>
        <v>3387.976667</v>
      </c>
      <c r="D6" s="17">
        <f t="shared" ref="D6:D16" si="2">B6-C6</f>
        <v>-724.2966667</v>
      </c>
      <c r="E6" s="18">
        <f t="shared" ref="E6:E17" si="3">D6/B6</f>
        <v>-0.2719157957</v>
      </c>
      <c r="G6" s="19" t="s">
        <v>11</v>
      </c>
      <c r="H6" s="96">
        <v>5000.0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4200.0</v>
      </c>
    </row>
    <row r="8">
      <c r="A8" s="21" t="s">
        <v>14</v>
      </c>
      <c r="B8" s="22">
        <v>250.0</v>
      </c>
      <c r="C8" s="22">
        <f t="shared" si="1"/>
        <v>2110.47</v>
      </c>
      <c r="D8" s="23">
        <f t="shared" si="2"/>
        <v>-1860.47</v>
      </c>
      <c r="E8" s="18">
        <f t="shared" si="3"/>
        <v>-7.44188</v>
      </c>
      <c r="G8" s="64" t="s">
        <v>27</v>
      </c>
      <c r="H8" s="92">
        <f>SUM(H6:H7)</f>
        <v>9200</v>
      </c>
    </row>
    <row r="9">
      <c r="A9" s="24" t="s">
        <v>15</v>
      </c>
      <c r="B9" s="22">
        <v>400.0</v>
      </c>
      <c r="C9" s="22">
        <f t="shared" si="1"/>
        <v>1097.74</v>
      </c>
      <c r="D9" s="23">
        <f t="shared" si="2"/>
        <v>-697.74</v>
      </c>
      <c r="E9" s="18">
        <f t="shared" si="3"/>
        <v>-1.74435</v>
      </c>
    </row>
    <row r="10">
      <c r="A10" s="24" t="s">
        <v>17</v>
      </c>
      <c r="B10" s="22">
        <v>400.0</v>
      </c>
      <c r="C10" s="22">
        <f t="shared" si="1"/>
        <v>431.61</v>
      </c>
      <c r="D10" s="23">
        <f t="shared" si="2"/>
        <v>-31.61</v>
      </c>
      <c r="E10" s="18">
        <f t="shared" si="3"/>
        <v>-0.079025</v>
      </c>
      <c r="G10" s="13" t="s">
        <v>16</v>
      </c>
      <c r="H10" s="14"/>
    </row>
    <row r="11">
      <c r="A11" s="22" t="s">
        <v>19</v>
      </c>
      <c r="B11" s="22">
        <v>200.0</v>
      </c>
      <c r="C11" s="22">
        <f t="shared" si="1"/>
        <v>511.78</v>
      </c>
      <c r="D11" s="23">
        <f t="shared" si="2"/>
        <v>-311.78</v>
      </c>
      <c r="E11" s="18">
        <f t="shared" si="3"/>
        <v>-1.5589</v>
      </c>
      <c r="G11" s="19" t="s">
        <v>18</v>
      </c>
      <c r="H11" s="14">
        <f>sum(C17)</f>
        <v>13059.36667</v>
      </c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H12" s="14"/>
    </row>
    <row r="13">
      <c r="A13" s="25" t="s">
        <v>22</v>
      </c>
      <c r="B13" s="22">
        <v>200.0</v>
      </c>
      <c r="C13" s="22">
        <f t="shared" ref="C13:C16" si="4">sumif($B$20:$C$102,A13,$C$20:$C$102)</f>
        <v>44.74</v>
      </c>
      <c r="D13" s="23">
        <f t="shared" si="2"/>
        <v>155.26</v>
      </c>
      <c r="E13" s="18">
        <f t="shared" si="3"/>
        <v>0.7763</v>
      </c>
      <c r="G13" s="13" t="s">
        <v>21</v>
      </c>
      <c r="H13" s="14"/>
    </row>
    <row r="14">
      <c r="A14" s="26" t="s">
        <v>24</v>
      </c>
      <c r="B14" s="27">
        <v>0.0</v>
      </c>
      <c r="C14" s="22">
        <f t="shared" si="4"/>
        <v>380.69</v>
      </c>
      <c r="D14" s="23">
        <f t="shared" si="2"/>
        <v>-380.69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215.36</v>
      </c>
      <c r="D15" s="28">
        <f t="shared" si="2"/>
        <v>84.64</v>
      </c>
      <c r="E15" s="18">
        <f t="shared" si="3"/>
        <v>0.2821333333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22">
        <f t="shared" si="4"/>
        <v>4379</v>
      </c>
      <c r="D16" s="28">
        <f t="shared" si="2"/>
        <v>-4379</v>
      </c>
      <c r="E16" s="18" t="str">
        <f t="shared" si="3"/>
        <v>#DIV/0!</v>
      </c>
      <c r="F16" s="32"/>
      <c r="G16" s="13" t="s">
        <v>26</v>
      </c>
      <c r="H16" s="47">
        <f>SUMIF($B$20:$C$124,"Travel",$C$20:$C$124)</f>
        <v>178.04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5">SUM(B6:B16)</f>
        <v>4913.68</v>
      </c>
      <c r="C17" s="31">
        <f t="shared" si="5"/>
        <v>13059.36667</v>
      </c>
      <c r="D17" s="31">
        <f>SUM(D6:D15)</f>
        <v>-3766.686667</v>
      </c>
      <c r="E17" s="18">
        <f t="shared" si="3"/>
        <v>-0.7665714224</v>
      </c>
      <c r="F17" s="36"/>
      <c r="G17" s="13" t="s">
        <v>28</v>
      </c>
      <c r="H17" s="33">
        <f>500-SUMIF($B$20:$C$124,"Travel",$C$20:$C$124)+'March 2024'!H17</f>
        <v>503.24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2900.0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40.0</v>
      </c>
      <c r="D21" s="95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40.0</v>
      </c>
      <c r="D22" s="95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42.62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87.0</v>
      </c>
      <c r="D24" s="95" t="s">
        <v>22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77/12</f>
        <v>6.416666667</v>
      </c>
      <c r="D25" s="41" t="s">
        <v>529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144.0</v>
      </c>
      <c r="D26" s="41" t="s">
        <v>23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2.87</v>
      </c>
      <c r="D27" s="41" t="s">
        <v>39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2.99</v>
      </c>
      <c r="D28" s="41" t="s">
        <v>40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5.83</v>
      </c>
      <c r="D29" s="41" t="s">
        <v>41</v>
      </c>
      <c r="E29" s="41"/>
      <c r="G29" s="42"/>
      <c r="H29" s="42"/>
      <c r="I29" s="42"/>
      <c r="J29" s="42"/>
      <c r="K29" s="42"/>
      <c r="L29" s="42"/>
      <c r="M29" s="42"/>
    </row>
    <row r="30">
      <c r="A30" s="40" t="s">
        <v>32</v>
      </c>
      <c r="B30" s="40" t="s">
        <v>10</v>
      </c>
      <c r="C30" s="41">
        <v>6.25</v>
      </c>
      <c r="D30" s="41" t="s">
        <v>488</v>
      </c>
      <c r="E30" s="41"/>
      <c r="G30" s="42"/>
      <c r="H30" s="42"/>
      <c r="I30" s="42"/>
      <c r="J30" s="42"/>
      <c r="K30" s="42"/>
      <c r="L30" s="42"/>
      <c r="M30" s="42"/>
    </row>
    <row r="31">
      <c r="A31" s="40" t="s">
        <v>32</v>
      </c>
      <c r="B31" s="40" t="s">
        <v>10</v>
      </c>
      <c r="C31" s="41">
        <v>110.0</v>
      </c>
      <c r="D31" s="41" t="s">
        <v>42</v>
      </c>
      <c r="E31" s="41"/>
      <c r="G31" s="42"/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G32" s="42"/>
      <c r="H32" s="42"/>
      <c r="I32" s="42"/>
      <c r="J32" s="42"/>
      <c r="K32" s="42"/>
      <c r="L32" s="42"/>
      <c r="M32" s="42"/>
    </row>
    <row r="33">
      <c r="A33" s="43"/>
      <c r="B33" s="40"/>
      <c r="C33" s="41"/>
      <c r="D33" s="41"/>
      <c r="E33" s="41"/>
      <c r="G33" s="42"/>
      <c r="H33" s="42"/>
      <c r="I33" s="42"/>
      <c r="J33" s="42"/>
      <c r="K33" s="42"/>
      <c r="L33" s="42"/>
      <c r="M33" s="42"/>
    </row>
    <row r="34">
      <c r="A34" s="91">
        <v>45384.0</v>
      </c>
      <c r="B34" s="40" t="s">
        <v>24</v>
      </c>
      <c r="C34" s="41">
        <v>40.69</v>
      </c>
      <c r="D34" s="41" t="s">
        <v>572</v>
      </c>
      <c r="G34" s="42"/>
      <c r="H34" s="42"/>
      <c r="I34" s="42"/>
      <c r="J34" s="42"/>
      <c r="K34" s="42"/>
      <c r="L34" s="42"/>
      <c r="M34" s="42"/>
    </row>
    <row r="35">
      <c r="A35" s="44"/>
      <c r="B35" s="40" t="s">
        <v>25</v>
      </c>
      <c r="C35" s="41">
        <v>75.0</v>
      </c>
      <c r="D35" s="41" t="s">
        <v>573</v>
      </c>
      <c r="G35" s="42"/>
      <c r="H35" s="42"/>
      <c r="I35" s="42"/>
      <c r="J35" s="42"/>
      <c r="K35" s="42"/>
      <c r="L35" s="42"/>
      <c r="M35" s="42"/>
    </row>
    <row r="36">
      <c r="A36" s="80"/>
      <c r="B36" s="40" t="s">
        <v>17</v>
      </c>
      <c r="C36" s="41">
        <v>33.25</v>
      </c>
      <c r="D36" s="41" t="s">
        <v>568</v>
      </c>
      <c r="G36" s="42"/>
      <c r="H36" s="42"/>
      <c r="I36" s="42"/>
      <c r="J36" s="42"/>
      <c r="K36" s="42"/>
      <c r="L36" s="42"/>
      <c r="M36" s="42"/>
    </row>
    <row r="37">
      <c r="A37" s="44"/>
      <c r="B37" s="40" t="s">
        <v>15</v>
      </c>
      <c r="C37" s="97">
        <v>161.45</v>
      </c>
      <c r="D37" s="97" t="s">
        <v>574</v>
      </c>
      <c r="G37" s="42"/>
      <c r="H37" s="42"/>
      <c r="I37" s="42"/>
      <c r="J37" s="42"/>
      <c r="K37" s="42"/>
      <c r="L37" s="42"/>
      <c r="M37" s="42"/>
    </row>
    <row r="38">
      <c r="A38" s="44"/>
      <c r="B38" s="40" t="s">
        <v>19</v>
      </c>
      <c r="C38" s="93">
        <v>121.28</v>
      </c>
      <c r="D38" s="93" t="s">
        <v>575</v>
      </c>
      <c r="G38" s="42"/>
      <c r="H38" s="42"/>
      <c r="I38" s="42"/>
      <c r="J38" s="42"/>
      <c r="K38" s="42"/>
      <c r="L38" s="42"/>
      <c r="M38" s="42"/>
    </row>
    <row r="39">
      <c r="A39" s="44"/>
      <c r="B39" s="40" t="s">
        <v>14</v>
      </c>
      <c r="C39" s="93">
        <v>7.64</v>
      </c>
      <c r="D39" s="93" t="s">
        <v>576</v>
      </c>
      <c r="G39" s="42"/>
      <c r="H39" s="42"/>
      <c r="I39" s="42"/>
      <c r="J39" s="42"/>
      <c r="K39" s="42"/>
      <c r="L39" s="42"/>
      <c r="M39" s="42"/>
    </row>
    <row r="40">
      <c r="A40" s="44"/>
      <c r="B40" s="40" t="s">
        <v>15</v>
      </c>
      <c r="C40" s="93">
        <v>143.93</v>
      </c>
      <c r="D40" s="93" t="s">
        <v>47</v>
      </c>
      <c r="G40" s="42"/>
      <c r="H40" s="42"/>
      <c r="I40" s="42"/>
      <c r="J40" s="42"/>
      <c r="K40" s="42"/>
      <c r="L40" s="42"/>
      <c r="M40" s="42"/>
    </row>
    <row r="41">
      <c r="A41" s="48"/>
      <c r="B41" s="40" t="s">
        <v>15</v>
      </c>
      <c r="C41" s="93">
        <v>180.58</v>
      </c>
      <c r="D41" s="93" t="s">
        <v>47</v>
      </c>
      <c r="G41" s="42"/>
      <c r="H41" s="42"/>
      <c r="I41" s="42"/>
      <c r="J41" s="42"/>
      <c r="K41" s="42"/>
      <c r="L41" s="42"/>
      <c r="M41" s="42"/>
    </row>
    <row r="42">
      <c r="A42" s="44"/>
      <c r="B42" s="40" t="s">
        <v>15</v>
      </c>
      <c r="C42" s="93">
        <v>-12.8</v>
      </c>
      <c r="D42" s="93" t="s">
        <v>562</v>
      </c>
      <c r="G42" s="42"/>
      <c r="H42" s="42"/>
      <c r="I42" s="42"/>
      <c r="J42" s="42"/>
      <c r="K42" s="42"/>
      <c r="L42" s="42"/>
      <c r="M42" s="42"/>
    </row>
    <row r="43">
      <c r="A43" s="44"/>
      <c r="B43" s="40" t="s">
        <v>15</v>
      </c>
      <c r="C43" s="93">
        <v>6.92</v>
      </c>
      <c r="D43" s="93" t="s">
        <v>47</v>
      </c>
      <c r="G43" s="42"/>
      <c r="H43" s="42"/>
      <c r="I43" s="42"/>
      <c r="J43" s="42"/>
      <c r="K43" s="42"/>
      <c r="L43" s="42"/>
      <c r="M43" s="42"/>
    </row>
    <row r="44">
      <c r="A44" s="44"/>
      <c r="B44" s="40" t="s">
        <v>15</v>
      </c>
      <c r="C44" s="93">
        <v>-160.0</v>
      </c>
      <c r="D44" s="93" t="s">
        <v>47</v>
      </c>
      <c r="G44" s="42"/>
      <c r="H44" s="42"/>
      <c r="I44" s="42"/>
      <c r="J44" s="42"/>
      <c r="K44" s="42"/>
      <c r="L44" s="42"/>
      <c r="M44" s="42"/>
    </row>
    <row r="45">
      <c r="A45" s="44"/>
      <c r="B45" s="40" t="s">
        <v>17</v>
      </c>
      <c r="C45" s="93">
        <v>276.0</v>
      </c>
      <c r="D45" s="93" t="s">
        <v>577</v>
      </c>
      <c r="G45" s="42"/>
      <c r="H45" s="42"/>
      <c r="I45" s="42"/>
      <c r="J45" s="42"/>
      <c r="K45" s="42"/>
      <c r="L45" s="42"/>
      <c r="M45" s="42"/>
    </row>
    <row r="46">
      <c r="A46" s="44"/>
      <c r="B46" s="40" t="s">
        <v>25</v>
      </c>
      <c r="C46" s="93">
        <v>8.61</v>
      </c>
      <c r="D46" s="93" t="s">
        <v>578</v>
      </c>
      <c r="G46" s="42"/>
      <c r="H46" s="42"/>
      <c r="I46" s="42"/>
      <c r="J46" s="42"/>
      <c r="K46" s="42"/>
      <c r="L46" s="42"/>
      <c r="M46" s="42"/>
    </row>
    <row r="47">
      <c r="A47" s="44"/>
      <c r="B47" s="40" t="s">
        <v>25</v>
      </c>
      <c r="C47" s="93">
        <f>2.9*15</f>
        <v>43.5</v>
      </c>
      <c r="D47" s="93" t="s">
        <v>579</v>
      </c>
      <c r="G47" s="42"/>
      <c r="H47" s="42"/>
      <c r="I47" s="42"/>
      <c r="J47" s="42"/>
      <c r="K47" s="42"/>
      <c r="L47" s="42"/>
      <c r="M47" s="42"/>
    </row>
    <row r="48">
      <c r="A48" s="44"/>
      <c r="B48" s="40" t="s">
        <v>25</v>
      </c>
      <c r="C48" s="93">
        <v>56.0</v>
      </c>
      <c r="D48" s="93" t="s">
        <v>580</v>
      </c>
      <c r="G48" s="42"/>
      <c r="H48" s="42"/>
      <c r="I48" s="42"/>
      <c r="J48" s="42"/>
      <c r="K48" s="42"/>
      <c r="L48" s="42"/>
      <c r="M48" s="42"/>
    </row>
    <row r="49">
      <c r="A49" s="44"/>
      <c r="B49" s="40" t="s">
        <v>17</v>
      </c>
      <c r="C49" s="93">
        <v>6.52</v>
      </c>
      <c r="D49" s="93" t="s">
        <v>581</v>
      </c>
      <c r="G49" s="42"/>
      <c r="H49" s="42"/>
      <c r="I49" s="42"/>
      <c r="J49" s="42"/>
      <c r="K49" s="42"/>
      <c r="L49" s="42"/>
      <c r="M49" s="42"/>
    </row>
    <row r="50">
      <c r="A50" s="44"/>
      <c r="B50" s="40" t="s">
        <v>19</v>
      </c>
      <c r="C50" s="93">
        <v>41.42</v>
      </c>
      <c r="D50" s="93" t="s">
        <v>582</v>
      </c>
      <c r="E50" s="90"/>
      <c r="G50" s="42"/>
      <c r="H50" s="42"/>
      <c r="I50" s="42"/>
      <c r="J50" s="42"/>
      <c r="K50" s="42"/>
      <c r="L50" s="42"/>
      <c r="M50" s="42"/>
    </row>
    <row r="51">
      <c r="A51" s="44"/>
      <c r="B51" s="40" t="s">
        <v>15</v>
      </c>
      <c r="C51" s="93">
        <v>19.64</v>
      </c>
      <c r="D51" s="93" t="s">
        <v>583</v>
      </c>
      <c r="E51" s="90"/>
      <c r="G51" s="42"/>
      <c r="H51" s="42"/>
      <c r="I51" s="42"/>
      <c r="J51" s="42"/>
      <c r="K51" s="42"/>
      <c r="L51" s="42"/>
      <c r="M51" s="42"/>
    </row>
    <row r="52">
      <c r="A52" s="44"/>
      <c r="B52" s="40" t="s">
        <v>25</v>
      </c>
      <c r="C52" s="93">
        <v>9.0</v>
      </c>
      <c r="D52" s="93" t="s">
        <v>584</v>
      </c>
      <c r="E52" s="90"/>
      <c r="G52" s="42"/>
      <c r="H52" s="42"/>
      <c r="I52" s="42"/>
      <c r="J52" s="42"/>
      <c r="K52" s="42"/>
      <c r="L52" s="42"/>
      <c r="M52" s="42"/>
    </row>
    <row r="53">
      <c r="A53" s="44"/>
      <c r="B53" s="40" t="s">
        <v>17</v>
      </c>
      <c r="C53" s="93">
        <v>20.0</v>
      </c>
      <c r="D53" s="93" t="s">
        <v>585</v>
      </c>
      <c r="E53" s="90"/>
      <c r="G53" s="42"/>
      <c r="H53" s="42"/>
      <c r="I53" s="42"/>
      <c r="J53" s="42"/>
      <c r="K53" s="42"/>
      <c r="L53" s="42"/>
      <c r="M53" s="42"/>
    </row>
    <row r="54">
      <c r="A54" s="44"/>
      <c r="B54" s="40" t="s">
        <v>15</v>
      </c>
      <c r="C54" s="93">
        <v>276.58</v>
      </c>
      <c r="D54" s="93" t="s">
        <v>47</v>
      </c>
      <c r="E54" s="41"/>
      <c r="G54" s="42"/>
      <c r="H54" s="42"/>
      <c r="I54" s="42"/>
      <c r="J54" s="42"/>
      <c r="K54" s="42"/>
      <c r="L54" s="42"/>
      <c r="M54" s="42"/>
    </row>
    <row r="55">
      <c r="A55" s="44"/>
      <c r="B55" s="40" t="s">
        <v>15</v>
      </c>
      <c r="C55" s="93">
        <v>4.8</v>
      </c>
      <c r="D55" s="93" t="s">
        <v>47</v>
      </c>
      <c r="E55" s="41"/>
      <c r="G55" s="42"/>
      <c r="H55" s="42"/>
      <c r="I55" s="42"/>
      <c r="J55" s="42"/>
      <c r="K55" s="42"/>
      <c r="L55" s="42"/>
      <c r="M55" s="42"/>
    </row>
    <row r="56">
      <c r="A56" s="44"/>
      <c r="B56" s="40" t="s">
        <v>25</v>
      </c>
      <c r="C56" s="93">
        <v>1.5</v>
      </c>
      <c r="D56" s="93" t="s">
        <v>142</v>
      </c>
      <c r="E56" s="41"/>
      <c r="G56" s="42"/>
      <c r="H56" s="42"/>
      <c r="I56" s="42"/>
      <c r="J56" s="42"/>
      <c r="K56" s="42"/>
      <c r="L56" s="42"/>
      <c r="M56" s="42"/>
    </row>
    <row r="57">
      <c r="A57" s="44"/>
      <c r="B57" s="40" t="s">
        <v>24</v>
      </c>
      <c r="C57" s="93">
        <v>340.0</v>
      </c>
      <c r="D57" s="93" t="s">
        <v>586</v>
      </c>
      <c r="E57" s="41"/>
      <c r="G57" s="42"/>
      <c r="H57" s="42"/>
      <c r="I57" s="42"/>
      <c r="J57" s="42"/>
      <c r="K57" s="42"/>
      <c r="L57" s="42"/>
      <c r="M57" s="42"/>
    </row>
    <row r="58">
      <c r="A58" s="91"/>
      <c r="B58" s="40" t="s">
        <v>19</v>
      </c>
      <c r="C58" s="93">
        <v>44.41</v>
      </c>
      <c r="D58" s="93" t="s">
        <v>587</v>
      </c>
      <c r="E58" s="41"/>
      <c r="G58" s="42"/>
      <c r="H58" s="42"/>
      <c r="I58" s="42"/>
      <c r="J58" s="42"/>
      <c r="K58" s="42"/>
      <c r="L58" s="42"/>
      <c r="M58" s="42"/>
    </row>
    <row r="59">
      <c r="A59" s="44"/>
      <c r="B59" s="40" t="s">
        <v>14</v>
      </c>
      <c r="C59" s="93">
        <v>15.99</v>
      </c>
      <c r="D59" s="93" t="s">
        <v>588</v>
      </c>
      <c r="E59" s="41"/>
      <c r="G59" s="42"/>
      <c r="H59" s="42"/>
      <c r="I59" s="42"/>
      <c r="J59" s="42"/>
      <c r="K59" s="42"/>
      <c r="L59" s="42"/>
      <c r="M59" s="42"/>
    </row>
    <row r="60">
      <c r="A60" s="44"/>
      <c r="B60" s="40" t="s">
        <v>14</v>
      </c>
      <c r="C60" s="93">
        <v>1900.0</v>
      </c>
      <c r="D60" s="93" t="s">
        <v>588</v>
      </c>
      <c r="E60" s="41"/>
      <c r="G60" s="42"/>
      <c r="H60" s="42"/>
      <c r="I60" s="42"/>
      <c r="J60" s="42"/>
      <c r="K60" s="42"/>
      <c r="L60" s="42"/>
      <c r="M60" s="42"/>
    </row>
    <row r="61">
      <c r="A61" s="44"/>
      <c r="B61" s="40" t="s">
        <v>19</v>
      </c>
      <c r="C61" s="93">
        <v>52.5</v>
      </c>
      <c r="D61" s="93" t="s">
        <v>589</v>
      </c>
      <c r="E61" s="41"/>
      <c r="G61" s="42"/>
      <c r="H61" s="42"/>
      <c r="I61" s="42"/>
      <c r="J61" s="42"/>
      <c r="K61" s="42"/>
      <c r="L61" s="42"/>
      <c r="M61" s="42"/>
    </row>
    <row r="62">
      <c r="A62" s="48"/>
      <c r="B62" s="40" t="s">
        <v>14</v>
      </c>
      <c r="C62" s="93">
        <v>128.0</v>
      </c>
      <c r="D62" s="93" t="s">
        <v>590</v>
      </c>
      <c r="E62" s="41"/>
      <c r="G62" s="42"/>
      <c r="H62" s="42"/>
      <c r="I62" s="42"/>
      <c r="J62" s="42"/>
      <c r="K62" s="42"/>
      <c r="L62" s="42"/>
      <c r="M62" s="42"/>
    </row>
    <row r="63">
      <c r="A63" s="48"/>
      <c r="B63" s="40" t="s">
        <v>15</v>
      </c>
      <c r="C63" s="93">
        <v>23.54</v>
      </c>
      <c r="D63" s="93" t="s">
        <v>591</v>
      </c>
      <c r="E63" s="41"/>
      <c r="G63" s="42"/>
      <c r="H63" s="42"/>
      <c r="I63" s="42"/>
      <c r="J63" s="42"/>
      <c r="K63" s="42"/>
      <c r="L63" s="42"/>
      <c r="M63" s="42"/>
    </row>
    <row r="64">
      <c r="A64" s="48"/>
      <c r="B64" s="40" t="s">
        <v>22</v>
      </c>
      <c r="C64" s="93">
        <v>44.74</v>
      </c>
      <c r="D64" s="93" t="s">
        <v>592</v>
      </c>
      <c r="E64" s="41"/>
      <c r="G64" s="42"/>
      <c r="H64" s="42"/>
      <c r="I64" s="42"/>
      <c r="J64" s="42"/>
      <c r="K64" s="42"/>
      <c r="L64" s="42"/>
      <c r="M64" s="42"/>
    </row>
    <row r="65">
      <c r="A65" s="48"/>
      <c r="B65" s="40" t="s">
        <v>14</v>
      </c>
      <c r="C65" s="41">
        <v>25.0</v>
      </c>
      <c r="D65" s="41" t="s">
        <v>593</v>
      </c>
      <c r="E65" s="41"/>
      <c r="G65" s="42"/>
      <c r="H65" s="42"/>
      <c r="I65" s="42"/>
      <c r="J65" s="42"/>
      <c r="K65" s="42"/>
      <c r="L65" s="42"/>
      <c r="M65" s="42"/>
    </row>
    <row r="66">
      <c r="A66" s="44"/>
      <c r="B66" s="40" t="s">
        <v>79</v>
      </c>
      <c r="C66" s="93">
        <v>18.58</v>
      </c>
      <c r="D66" s="41" t="s">
        <v>594</v>
      </c>
      <c r="E66" s="41"/>
      <c r="G66" s="42"/>
      <c r="H66" s="42"/>
      <c r="I66" s="42"/>
      <c r="J66" s="42"/>
      <c r="K66" s="42"/>
      <c r="L66" s="42"/>
      <c r="M66" s="42"/>
    </row>
    <row r="67">
      <c r="A67" s="44"/>
      <c r="B67" s="40" t="s">
        <v>79</v>
      </c>
      <c r="C67" s="41">
        <v>18.58</v>
      </c>
      <c r="D67" s="41" t="s">
        <v>594</v>
      </c>
      <c r="E67" s="41"/>
      <c r="G67" s="42"/>
      <c r="H67" s="42"/>
      <c r="I67" s="42"/>
      <c r="J67" s="42"/>
      <c r="K67" s="42"/>
      <c r="L67" s="42"/>
      <c r="M67" s="42"/>
    </row>
    <row r="68">
      <c r="A68" s="44"/>
      <c r="B68" s="40" t="s">
        <v>14</v>
      </c>
      <c r="C68" s="41">
        <v>33.84</v>
      </c>
      <c r="D68" s="41" t="s">
        <v>595</v>
      </c>
      <c r="E68" s="41"/>
      <c r="G68" s="42"/>
      <c r="H68" s="42"/>
      <c r="I68" s="42"/>
      <c r="J68" s="42"/>
      <c r="K68" s="42"/>
      <c r="L68" s="42"/>
      <c r="M68" s="42"/>
    </row>
    <row r="69">
      <c r="A69" s="44"/>
      <c r="B69" s="40" t="s">
        <v>17</v>
      </c>
      <c r="C69" s="41">
        <v>15.1</v>
      </c>
      <c r="D69" s="41" t="s">
        <v>585</v>
      </c>
      <c r="E69" s="41"/>
      <c r="G69" s="42"/>
      <c r="H69" s="42"/>
      <c r="I69" s="42"/>
      <c r="J69" s="42"/>
      <c r="K69" s="42"/>
      <c r="L69" s="42"/>
      <c r="M69" s="42"/>
    </row>
    <row r="70">
      <c r="A70" s="44"/>
      <c r="B70" s="40" t="s">
        <v>17</v>
      </c>
      <c r="C70" s="41">
        <v>7.79</v>
      </c>
      <c r="D70" s="41" t="s">
        <v>596</v>
      </c>
      <c r="E70" s="41"/>
      <c r="G70" s="42"/>
      <c r="H70" s="42"/>
      <c r="I70" s="42"/>
      <c r="J70" s="42"/>
      <c r="K70" s="42"/>
      <c r="L70" s="42"/>
      <c r="M70" s="42"/>
    </row>
    <row r="71">
      <c r="A71" s="44"/>
      <c r="B71" s="40" t="s">
        <v>15</v>
      </c>
      <c r="C71" s="41">
        <v>1.99</v>
      </c>
      <c r="D71" s="41" t="s">
        <v>38</v>
      </c>
      <c r="E71" s="41"/>
      <c r="G71" s="42"/>
      <c r="H71" s="42"/>
      <c r="I71" s="42"/>
      <c r="J71" s="42"/>
      <c r="K71" s="42"/>
      <c r="L71" s="42"/>
      <c r="M71" s="42"/>
    </row>
    <row r="72">
      <c r="A72" s="44"/>
      <c r="B72" s="40" t="s">
        <v>79</v>
      </c>
      <c r="C72" s="41">
        <v>10.0</v>
      </c>
      <c r="D72" s="41" t="s">
        <v>597</v>
      </c>
      <c r="E72" s="41"/>
      <c r="G72" s="42"/>
      <c r="H72" s="42"/>
      <c r="I72" s="42"/>
      <c r="J72" s="42"/>
      <c r="K72" s="42"/>
      <c r="L72" s="42"/>
      <c r="M72" s="42"/>
    </row>
    <row r="73">
      <c r="A73" s="44"/>
      <c r="B73" s="40" t="s">
        <v>79</v>
      </c>
      <c r="C73" s="41">
        <v>33.23</v>
      </c>
      <c r="D73" s="41" t="s">
        <v>119</v>
      </c>
      <c r="E73" s="41"/>
      <c r="G73" s="42"/>
      <c r="H73" s="42"/>
      <c r="I73" s="42"/>
      <c r="J73" s="42"/>
      <c r="K73" s="42"/>
      <c r="L73" s="42"/>
      <c r="M73" s="42"/>
    </row>
    <row r="74">
      <c r="A74" s="44"/>
      <c r="B74" s="40" t="s">
        <v>79</v>
      </c>
      <c r="C74" s="41">
        <v>5.0</v>
      </c>
      <c r="D74" s="41" t="s">
        <v>597</v>
      </c>
      <c r="E74" s="41"/>
      <c r="G74" s="42"/>
      <c r="H74" s="42"/>
      <c r="I74" s="42"/>
      <c r="J74" s="42"/>
      <c r="K74" s="42"/>
      <c r="L74" s="42"/>
      <c r="M74" s="42"/>
    </row>
    <row r="75">
      <c r="A75" s="44"/>
      <c r="B75" s="40" t="s">
        <v>79</v>
      </c>
      <c r="C75" s="41">
        <v>12.35</v>
      </c>
      <c r="D75" s="41" t="s">
        <v>119</v>
      </c>
      <c r="E75" s="41"/>
      <c r="G75" s="42"/>
      <c r="H75" s="42"/>
      <c r="I75" s="42"/>
      <c r="J75" s="42"/>
      <c r="K75" s="42"/>
      <c r="L75" s="42"/>
      <c r="M75" s="42"/>
    </row>
    <row r="76">
      <c r="A76" s="44"/>
      <c r="B76" s="40" t="s">
        <v>15</v>
      </c>
      <c r="C76" s="41">
        <v>51.75</v>
      </c>
      <c r="D76" s="41" t="s">
        <v>598</v>
      </c>
      <c r="E76" s="41"/>
      <c r="G76" s="42"/>
      <c r="H76" s="42"/>
      <c r="I76" s="42"/>
      <c r="J76" s="42"/>
      <c r="K76" s="42"/>
      <c r="L76" s="42"/>
      <c r="M76" s="42"/>
    </row>
    <row r="77">
      <c r="A77" s="44"/>
      <c r="B77" s="40" t="s">
        <v>15</v>
      </c>
      <c r="C77" s="41">
        <v>235.81</v>
      </c>
      <c r="D77" s="41" t="s">
        <v>47</v>
      </c>
      <c r="E77" s="41"/>
      <c r="G77" s="42"/>
      <c r="H77" s="42"/>
      <c r="I77" s="42"/>
      <c r="J77" s="42"/>
      <c r="K77" s="42"/>
      <c r="L77" s="42"/>
      <c r="M77" s="42"/>
    </row>
    <row r="78">
      <c r="A78" s="44"/>
      <c r="B78" s="40" t="s">
        <v>15</v>
      </c>
      <c r="C78" s="41">
        <v>-15.99</v>
      </c>
      <c r="D78" s="41" t="s">
        <v>562</v>
      </c>
      <c r="E78" s="41"/>
      <c r="G78" s="42"/>
      <c r="H78" s="42"/>
      <c r="I78" s="42"/>
      <c r="J78" s="42"/>
      <c r="K78" s="42"/>
      <c r="L78" s="42"/>
      <c r="M78" s="42"/>
    </row>
    <row r="79">
      <c r="A79" s="44"/>
      <c r="B79" s="40" t="s">
        <v>19</v>
      </c>
      <c r="C79" s="41">
        <v>12.76</v>
      </c>
      <c r="D79" s="41" t="s">
        <v>599</v>
      </c>
      <c r="E79" s="41"/>
      <c r="G79" s="42"/>
      <c r="H79" s="42"/>
      <c r="I79" s="42"/>
      <c r="J79" s="42"/>
      <c r="K79" s="42"/>
      <c r="L79" s="42"/>
      <c r="M79" s="42"/>
    </row>
    <row r="80">
      <c r="A80" s="44"/>
      <c r="B80" s="40" t="s">
        <v>79</v>
      </c>
      <c r="C80" s="41">
        <v>80.3</v>
      </c>
      <c r="D80" s="41" t="s">
        <v>119</v>
      </c>
      <c r="E80" s="41"/>
      <c r="G80" s="42"/>
      <c r="H80" s="42"/>
      <c r="I80" s="42"/>
      <c r="J80" s="42"/>
      <c r="K80" s="42"/>
      <c r="L80" s="42"/>
      <c r="M80" s="42"/>
    </row>
    <row r="81">
      <c r="A81" s="44"/>
      <c r="B81" s="40" t="s">
        <v>25</v>
      </c>
      <c r="C81" s="41">
        <v>16.75</v>
      </c>
      <c r="D81" s="41" t="s">
        <v>600</v>
      </c>
      <c r="E81" s="41"/>
      <c r="G81" s="42"/>
      <c r="H81" s="42"/>
      <c r="I81" s="42"/>
      <c r="J81" s="42"/>
      <c r="K81" s="42"/>
      <c r="L81" s="42"/>
      <c r="M81" s="42"/>
    </row>
    <row r="82">
      <c r="A82" s="44"/>
      <c r="B82" s="40" t="s">
        <v>571</v>
      </c>
      <c r="C82" s="41">
        <v>3000.0</v>
      </c>
      <c r="D82" s="41" t="s">
        <v>288</v>
      </c>
      <c r="E82" s="41"/>
      <c r="G82" s="42"/>
      <c r="H82" s="42"/>
      <c r="I82" s="42"/>
      <c r="J82" s="42"/>
      <c r="K82" s="42"/>
      <c r="L82" s="42"/>
      <c r="M82" s="42"/>
    </row>
    <row r="83">
      <c r="A83" s="44"/>
      <c r="B83" s="40" t="s">
        <v>19</v>
      </c>
      <c r="C83" s="41">
        <v>221.84</v>
      </c>
      <c r="D83" s="41" t="s">
        <v>601</v>
      </c>
      <c r="E83" s="41"/>
      <c r="G83" s="42"/>
      <c r="H83" s="42"/>
      <c r="I83" s="42"/>
      <c r="J83" s="42"/>
      <c r="K83" s="42"/>
      <c r="L83" s="42"/>
      <c r="M83" s="42"/>
    </row>
    <row r="84">
      <c r="A84" s="44"/>
      <c r="B84" s="40" t="s">
        <v>571</v>
      </c>
      <c r="C84" s="41">
        <v>1079.0</v>
      </c>
      <c r="D84" s="41" t="s">
        <v>602</v>
      </c>
      <c r="E84" s="41"/>
      <c r="G84" s="42"/>
      <c r="H84" s="42"/>
      <c r="I84" s="42"/>
      <c r="J84" s="42"/>
      <c r="K84" s="42"/>
      <c r="L84" s="42"/>
      <c r="M84" s="42"/>
    </row>
    <row r="85">
      <c r="A85" s="44"/>
      <c r="B85" s="40" t="s">
        <v>571</v>
      </c>
      <c r="C85" s="41">
        <v>300.0</v>
      </c>
      <c r="D85" s="41" t="s">
        <v>603</v>
      </c>
      <c r="E85" s="41"/>
      <c r="G85" s="42"/>
      <c r="H85" s="42"/>
      <c r="I85" s="42"/>
      <c r="J85" s="42"/>
      <c r="K85" s="42"/>
      <c r="L85" s="42"/>
      <c r="M85" s="42"/>
    </row>
    <row r="86">
      <c r="A86" s="44"/>
      <c r="B86" s="40" t="s">
        <v>17</v>
      </c>
      <c r="C86" s="41">
        <v>12.27</v>
      </c>
      <c r="D86" s="41" t="s">
        <v>604</v>
      </c>
      <c r="E86" s="41"/>
      <c r="G86" s="42"/>
      <c r="H86" s="42"/>
      <c r="I86" s="42"/>
      <c r="J86" s="42"/>
      <c r="K86" s="42"/>
      <c r="L86" s="42"/>
      <c r="M86" s="42"/>
    </row>
    <row r="87">
      <c r="A87" s="44"/>
      <c r="B87" s="40" t="s">
        <v>17</v>
      </c>
      <c r="C87" s="41">
        <v>41.12</v>
      </c>
      <c r="D87" s="41" t="s">
        <v>605</v>
      </c>
      <c r="E87" s="41"/>
      <c r="G87" s="42"/>
      <c r="H87" s="42"/>
      <c r="I87" s="42"/>
      <c r="J87" s="42"/>
      <c r="K87" s="42"/>
      <c r="L87" s="42"/>
      <c r="M87" s="42"/>
    </row>
    <row r="88">
      <c r="A88" s="44"/>
      <c r="B88" s="40" t="s">
        <v>19</v>
      </c>
      <c r="C88" s="41">
        <v>17.57</v>
      </c>
      <c r="D88" s="41" t="s">
        <v>563</v>
      </c>
      <c r="E88" s="41"/>
      <c r="G88" s="42"/>
      <c r="H88" s="42"/>
      <c r="I88" s="42"/>
      <c r="J88" s="42"/>
      <c r="K88" s="42"/>
      <c r="L88" s="42"/>
      <c r="M88" s="42"/>
    </row>
    <row r="89">
      <c r="A89" s="44"/>
      <c r="B89" s="40" t="s">
        <v>15</v>
      </c>
      <c r="C89" s="41">
        <v>147.11</v>
      </c>
      <c r="D89" s="41" t="s">
        <v>47</v>
      </c>
      <c r="E89" s="41"/>
      <c r="G89" s="42"/>
      <c r="H89" s="42"/>
      <c r="I89" s="42"/>
      <c r="J89" s="42"/>
      <c r="K89" s="42"/>
      <c r="L89" s="42"/>
      <c r="M89" s="42"/>
    </row>
    <row r="90">
      <c r="A90" s="44"/>
      <c r="B90" s="40" t="s">
        <v>15</v>
      </c>
      <c r="C90" s="41">
        <v>32.43</v>
      </c>
      <c r="D90" s="41" t="s">
        <v>606</v>
      </c>
      <c r="E90" s="41"/>
      <c r="G90" s="42"/>
      <c r="H90" s="42"/>
      <c r="I90" s="42"/>
      <c r="J90" s="42"/>
      <c r="K90" s="42"/>
      <c r="L90" s="42"/>
      <c r="M90" s="42"/>
    </row>
    <row r="91">
      <c r="A91" s="44"/>
      <c r="B91" s="40" t="s">
        <v>25</v>
      </c>
      <c r="C91" s="41">
        <v>5.0</v>
      </c>
      <c r="D91" s="41" t="s">
        <v>607</v>
      </c>
      <c r="E91" s="41"/>
      <c r="G91" s="42"/>
      <c r="H91" s="42"/>
      <c r="I91" s="42"/>
      <c r="J91" s="42"/>
      <c r="K91" s="42"/>
      <c r="L91" s="42"/>
      <c r="M91" s="42"/>
    </row>
    <row r="92">
      <c r="A92" s="44"/>
      <c r="B92" s="40" t="s">
        <v>17</v>
      </c>
      <c r="C92" s="41">
        <v>19.56</v>
      </c>
      <c r="D92" s="41" t="s">
        <v>608</v>
      </c>
      <c r="E92" s="41"/>
      <c r="G92" s="42"/>
      <c r="H92" s="42"/>
      <c r="I92" s="42"/>
      <c r="J92" s="42"/>
      <c r="K92" s="42"/>
      <c r="L92" s="42"/>
      <c r="M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  <row r="102">
      <c r="A102" s="44"/>
      <c r="B102" s="40"/>
      <c r="C102" s="41"/>
      <c r="D102" s="41"/>
      <c r="E102" s="41"/>
      <c r="G102" s="42"/>
      <c r="H102" s="42"/>
      <c r="I102" s="42"/>
      <c r="J102" s="42"/>
      <c r="K102" s="42"/>
      <c r="L102" s="42"/>
      <c r="M102" s="42"/>
    </row>
  </sheetData>
  <autoFilter ref="$A$33:$D$92"/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102">
      <formula1>'Hidden list and Figures'!$A$3:$A$15</formula1>
    </dataValidation>
    <dataValidation type="custom" allowBlank="1" showDropDown="1" showInputMessage="1" prompt="Select a date" sqref="A34:A102">
      <formula1>OR(NOT(ISERROR(DATEVALUE(A34))), AND(ISNUMBER(A34), LEFT(CELL("format", A34))="D"))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sumif($B$20:$C$101,A6,$C$20:$C$101)</f>
        <v>3397.976667</v>
      </c>
      <c r="D6" s="17">
        <f t="shared" ref="D6:D16" si="2">B6-C6</f>
        <v>-734.2966667</v>
      </c>
      <c r="E6" s="18">
        <f t="shared" ref="E6:E17" si="3">D6/B6</f>
        <v>-0.2756700004</v>
      </c>
      <c r="G6" s="19" t="s">
        <v>11</v>
      </c>
      <c r="H6" s="96">
        <f>3223+2061</f>
        <v>5284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f>3370*2</f>
        <v>6740</v>
      </c>
    </row>
    <row r="8">
      <c r="A8" s="21" t="s">
        <v>14</v>
      </c>
      <c r="B8" s="22">
        <v>250.0</v>
      </c>
      <c r="C8" s="22">
        <f t="shared" si="1"/>
        <v>404.6</v>
      </c>
      <c r="D8" s="23">
        <f t="shared" si="2"/>
        <v>-154.6</v>
      </c>
      <c r="E8" s="18">
        <f t="shared" si="3"/>
        <v>-0.6184</v>
      </c>
      <c r="G8" s="64" t="s">
        <v>27</v>
      </c>
      <c r="H8" s="92">
        <f>SUM(H6:H7)</f>
        <v>12024</v>
      </c>
    </row>
    <row r="9">
      <c r="A9" s="24" t="s">
        <v>15</v>
      </c>
      <c r="B9" s="22">
        <v>400.0</v>
      </c>
      <c r="C9" s="22">
        <f t="shared" si="1"/>
        <v>407.21</v>
      </c>
      <c r="D9" s="23">
        <f t="shared" si="2"/>
        <v>-7.21</v>
      </c>
      <c r="E9" s="18">
        <f t="shared" si="3"/>
        <v>-0.018025</v>
      </c>
    </row>
    <row r="10">
      <c r="A10" s="24" t="s">
        <v>17</v>
      </c>
      <c r="B10" s="22">
        <v>400.0</v>
      </c>
      <c r="C10" s="22">
        <f t="shared" si="1"/>
        <v>392.61</v>
      </c>
      <c r="D10" s="23">
        <f t="shared" si="2"/>
        <v>7.39</v>
      </c>
      <c r="E10" s="18">
        <f t="shared" si="3"/>
        <v>0.018475</v>
      </c>
      <c r="G10" s="13" t="s">
        <v>16</v>
      </c>
      <c r="H10" s="14"/>
    </row>
    <row r="11">
      <c r="A11" s="22" t="s">
        <v>19</v>
      </c>
      <c r="B11" s="22">
        <v>200.0</v>
      </c>
      <c r="C11" s="22">
        <f t="shared" si="1"/>
        <v>68.85</v>
      </c>
      <c r="D11" s="23">
        <f t="shared" si="2"/>
        <v>131.15</v>
      </c>
      <c r="E11" s="18">
        <f t="shared" si="3"/>
        <v>0.65575</v>
      </c>
      <c r="G11" s="19" t="s">
        <v>18</v>
      </c>
      <c r="H11" s="14">
        <f>sum(C17)</f>
        <v>6570.346667</v>
      </c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H12" s="14"/>
    </row>
    <row r="13">
      <c r="A13" s="25" t="s">
        <v>22</v>
      </c>
      <c r="B13" s="22">
        <v>200.0</v>
      </c>
      <c r="C13" s="22">
        <f t="shared" ref="C13:C16" si="4">sumif($B$20:$C$101,A13,$C$20:$C$101)</f>
        <v>110.11</v>
      </c>
      <c r="D13" s="23">
        <f t="shared" si="2"/>
        <v>89.89</v>
      </c>
      <c r="E13" s="18">
        <f t="shared" si="3"/>
        <v>0.44945</v>
      </c>
      <c r="G13" s="13" t="s">
        <v>21</v>
      </c>
      <c r="H13" s="14"/>
    </row>
    <row r="14">
      <c r="A14" s="26" t="s">
        <v>24</v>
      </c>
      <c r="B14" s="27">
        <v>0.0</v>
      </c>
      <c r="C14" s="22">
        <f t="shared" si="4"/>
        <v>15.64</v>
      </c>
      <c r="D14" s="23">
        <f t="shared" si="2"/>
        <v>-15.64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1066.14</v>
      </c>
      <c r="D15" s="28">
        <f t="shared" si="2"/>
        <v>-766.14</v>
      </c>
      <c r="E15" s="18">
        <f t="shared" si="3"/>
        <v>-2.5538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22">
        <f t="shared" si="4"/>
        <v>207.21</v>
      </c>
      <c r="D16" s="28">
        <f t="shared" si="2"/>
        <v>-207.21</v>
      </c>
      <c r="E16" s="18" t="str">
        <f t="shared" si="3"/>
        <v>#DIV/0!</v>
      </c>
      <c r="F16" s="32"/>
      <c r="G16" s="13" t="s">
        <v>26</v>
      </c>
      <c r="H16" s="47">
        <f>SUMIF($B$20:$C$123,"Travel",$C$20:$C$123)</f>
        <v>643.79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5">SUM(B6:B16)</f>
        <v>4913.68</v>
      </c>
      <c r="C17" s="31">
        <f t="shared" si="5"/>
        <v>6570.346667</v>
      </c>
      <c r="D17" s="31">
        <f>SUM(D6:D15)</f>
        <v>-1449.456667</v>
      </c>
      <c r="E17" s="18">
        <f t="shared" si="3"/>
        <v>-0.294983936</v>
      </c>
      <c r="F17" s="36"/>
      <c r="G17" s="13" t="s">
        <v>28</v>
      </c>
      <c r="H17" s="33">
        <f>500-SUMIF($B$20:$C$123,"Travel",$C$20:$C$123)+'April 2024'!H17</f>
        <v>359.45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2900.0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40.0</v>
      </c>
      <c r="D21" s="95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50.0</v>
      </c>
      <c r="D22" s="95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42.62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87.0</v>
      </c>
      <c r="D24" s="95" t="s">
        <v>22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77/12</f>
        <v>6.416666667</v>
      </c>
      <c r="D25" s="41" t="s">
        <v>529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144.0</v>
      </c>
      <c r="D26" s="41" t="s">
        <v>23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2.87</v>
      </c>
      <c r="D27" s="41" t="s">
        <v>39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2.99</v>
      </c>
      <c r="D28" s="41" t="s">
        <v>40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5.83</v>
      </c>
      <c r="D29" s="41" t="s">
        <v>41</v>
      </c>
      <c r="E29" s="41"/>
      <c r="G29" s="42"/>
      <c r="H29" s="42"/>
      <c r="I29" s="42"/>
      <c r="J29" s="42"/>
      <c r="K29" s="42"/>
      <c r="L29" s="42"/>
      <c r="M29" s="42"/>
    </row>
    <row r="30">
      <c r="A30" s="40" t="s">
        <v>32</v>
      </c>
      <c r="B30" s="40" t="s">
        <v>10</v>
      </c>
      <c r="C30" s="41">
        <v>6.25</v>
      </c>
      <c r="D30" s="41" t="s">
        <v>488</v>
      </c>
      <c r="E30" s="41"/>
      <c r="G30" s="42"/>
      <c r="H30" s="42"/>
      <c r="I30" s="42"/>
      <c r="J30" s="42"/>
      <c r="K30" s="42"/>
      <c r="L30" s="42"/>
      <c r="M30" s="42"/>
    </row>
    <row r="31">
      <c r="A31" s="40" t="s">
        <v>32</v>
      </c>
      <c r="B31" s="40" t="s">
        <v>10</v>
      </c>
      <c r="C31" s="41">
        <v>110.0</v>
      </c>
      <c r="D31" s="41" t="s">
        <v>42</v>
      </c>
      <c r="E31" s="41"/>
      <c r="G31" s="42"/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G32" s="42"/>
      <c r="H32" s="42"/>
      <c r="I32" s="42"/>
      <c r="J32" s="42"/>
      <c r="K32" s="42"/>
      <c r="L32" s="42"/>
      <c r="M32" s="42"/>
    </row>
    <row r="33">
      <c r="A33" s="43"/>
      <c r="B33" s="40"/>
      <c r="C33" s="41"/>
      <c r="D33" s="41"/>
      <c r="E33" s="41"/>
      <c r="G33" s="42"/>
      <c r="H33" s="42"/>
      <c r="I33" s="42"/>
      <c r="J33" s="42"/>
      <c r="K33" s="42"/>
      <c r="L33" s="42"/>
      <c r="M33" s="42"/>
    </row>
    <row r="34">
      <c r="A34" s="91">
        <v>45433.0</v>
      </c>
      <c r="B34" s="40" t="s">
        <v>17</v>
      </c>
      <c r="C34" s="41">
        <v>8.68</v>
      </c>
      <c r="D34" s="41" t="s">
        <v>609</v>
      </c>
      <c r="G34" s="42"/>
      <c r="H34" s="42"/>
      <c r="I34" s="42"/>
      <c r="J34" s="42"/>
      <c r="K34" s="42"/>
      <c r="L34" s="42"/>
      <c r="M34" s="42"/>
    </row>
    <row r="35">
      <c r="A35" s="80">
        <v>45416.0</v>
      </c>
      <c r="B35" s="40" t="s">
        <v>25</v>
      </c>
      <c r="C35" s="41">
        <f>4*2.9+2.9*2</f>
        <v>17.4</v>
      </c>
      <c r="D35" s="41" t="s">
        <v>610</v>
      </c>
      <c r="G35" s="42"/>
      <c r="H35" s="42"/>
      <c r="I35" s="42"/>
      <c r="J35" s="42"/>
      <c r="K35" s="42"/>
      <c r="L35" s="42"/>
      <c r="M35" s="42"/>
    </row>
    <row r="36">
      <c r="A36" s="44">
        <v>45416.0</v>
      </c>
      <c r="B36" s="40" t="s">
        <v>25</v>
      </c>
      <c r="C36" s="98">
        <v>12.24</v>
      </c>
      <c r="D36" s="98" t="s">
        <v>563</v>
      </c>
      <c r="G36" s="42"/>
      <c r="H36" s="42"/>
      <c r="I36" s="42"/>
      <c r="J36" s="42"/>
      <c r="K36" s="42"/>
      <c r="L36" s="42"/>
      <c r="M36" s="42"/>
    </row>
    <row r="37">
      <c r="A37" s="44">
        <v>45416.0</v>
      </c>
      <c r="B37" s="40" t="s">
        <v>25</v>
      </c>
      <c r="C37" s="93">
        <v>7.7</v>
      </c>
      <c r="D37" s="93" t="s">
        <v>611</v>
      </c>
      <c r="G37" s="42"/>
      <c r="H37" s="42"/>
      <c r="I37" s="42"/>
      <c r="J37" s="42"/>
      <c r="K37" s="42"/>
      <c r="L37" s="42"/>
      <c r="M37" s="42"/>
    </row>
    <row r="38">
      <c r="A38" s="44">
        <v>45416.0</v>
      </c>
      <c r="B38" s="40" t="s">
        <v>17</v>
      </c>
      <c r="C38" s="93">
        <v>101.0</v>
      </c>
      <c r="D38" s="93" t="s">
        <v>612</v>
      </c>
      <c r="G38" s="42"/>
      <c r="H38" s="42"/>
      <c r="I38" s="42"/>
      <c r="J38" s="42"/>
      <c r="K38" s="42"/>
      <c r="L38" s="42"/>
      <c r="M38" s="42"/>
    </row>
    <row r="39">
      <c r="A39" s="44">
        <v>45417.0</v>
      </c>
      <c r="B39" s="40" t="s">
        <v>17</v>
      </c>
      <c r="C39" s="93">
        <v>21.26</v>
      </c>
      <c r="D39" s="93" t="s">
        <v>613</v>
      </c>
      <c r="G39" s="42"/>
      <c r="H39" s="42"/>
      <c r="I39" s="42"/>
      <c r="J39" s="42"/>
      <c r="K39" s="42"/>
      <c r="L39" s="42"/>
      <c r="M39" s="42"/>
    </row>
    <row r="40">
      <c r="A40" s="44">
        <v>45417.0</v>
      </c>
      <c r="B40" s="40" t="s">
        <v>15</v>
      </c>
      <c r="C40" s="93">
        <v>56.12</v>
      </c>
      <c r="D40" s="93" t="s">
        <v>614</v>
      </c>
      <c r="G40" s="42"/>
      <c r="H40" s="42"/>
      <c r="I40" s="42"/>
      <c r="J40" s="42"/>
      <c r="K40" s="42"/>
      <c r="L40" s="42"/>
      <c r="M40" s="42"/>
    </row>
    <row r="41">
      <c r="A41" s="44">
        <v>45417.0</v>
      </c>
      <c r="B41" s="40" t="s">
        <v>15</v>
      </c>
      <c r="C41" s="93">
        <v>96.74</v>
      </c>
      <c r="D41" s="93" t="s">
        <v>47</v>
      </c>
      <c r="G41" s="42"/>
      <c r="H41" s="42"/>
      <c r="I41" s="42"/>
      <c r="J41" s="42"/>
      <c r="K41" s="42"/>
      <c r="L41" s="42"/>
      <c r="M41" s="42"/>
    </row>
    <row r="42">
      <c r="A42" s="44"/>
      <c r="B42" s="40"/>
      <c r="C42" s="93"/>
      <c r="D42" s="93"/>
      <c r="G42" s="42"/>
      <c r="H42" s="42"/>
      <c r="I42" s="42"/>
      <c r="J42" s="42"/>
      <c r="K42" s="42"/>
      <c r="L42" s="42"/>
      <c r="M42" s="42"/>
    </row>
    <row r="43">
      <c r="A43" s="44">
        <v>45420.0</v>
      </c>
      <c r="B43" s="40" t="s">
        <v>79</v>
      </c>
      <c r="C43" s="93">
        <v>24.0</v>
      </c>
      <c r="D43" s="93" t="s">
        <v>615</v>
      </c>
      <c r="G43" s="42"/>
      <c r="H43" s="42"/>
      <c r="I43" s="42"/>
      <c r="J43" s="42"/>
      <c r="K43" s="42"/>
      <c r="L43" s="42"/>
      <c r="M43" s="42"/>
    </row>
    <row r="44">
      <c r="A44" s="44">
        <v>45421.0</v>
      </c>
      <c r="B44" s="40" t="s">
        <v>17</v>
      </c>
      <c r="C44" s="93">
        <v>13.41</v>
      </c>
      <c r="D44" s="93" t="s">
        <v>616</v>
      </c>
      <c r="G44" s="42"/>
      <c r="H44" s="42"/>
      <c r="I44" s="42"/>
      <c r="J44" s="42"/>
      <c r="K44" s="42"/>
      <c r="L44" s="42"/>
      <c r="M44" s="42"/>
    </row>
    <row r="45">
      <c r="A45" s="44">
        <v>45421.0</v>
      </c>
      <c r="B45" s="40" t="s">
        <v>17</v>
      </c>
      <c r="C45" s="93">
        <v>4.0</v>
      </c>
      <c r="D45" s="93" t="s">
        <v>617</v>
      </c>
      <c r="G45" s="42"/>
      <c r="H45" s="42"/>
      <c r="I45" s="42"/>
      <c r="J45" s="42"/>
      <c r="K45" s="42"/>
      <c r="L45" s="42"/>
      <c r="M45" s="42"/>
    </row>
    <row r="46">
      <c r="A46" s="44">
        <v>45421.0</v>
      </c>
      <c r="B46" s="40" t="s">
        <v>25</v>
      </c>
      <c r="C46" s="93">
        <v>324.0</v>
      </c>
      <c r="D46" s="93" t="s">
        <v>618</v>
      </c>
      <c r="G46" s="42"/>
      <c r="H46" s="42"/>
      <c r="I46" s="42"/>
      <c r="J46" s="42"/>
      <c r="K46" s="42"/>
      <c r="L46" s="42"/>
      <c r="M46" s="42"/>
    </row>
    <row r="47">
      <c r="A47" s="44">
        <v>45421.0</v>
      </c>
      <c r="B47" s="40" t="s">
        <v>15</v>
      </c>
      <c r="C47" s="93">
        <v>3.48</v>
      </c>
      <c r="D47" s="93" t="s">
        <v>47</v>
      </c>
      <c r="G47" s="42"/>
      <c r="H47" s="42"/>
      <c r="I47" s="42"/>
      <c r="J47" s="42"/>
      <c r="K47" s="42"/>
      <c r="L47" s="42"/>
      <c r="M47" s="42"/>
    </row>
    <row r="48">
      <c r="A48" s="44">
        <v>45421.0</v>
      </c>
      <c r="B48" s="40" t="s">
        <v>79</v>
      </c>
      <c r="C48" s="93">
        <v>258.0</v>
      </c>
      <c r="D48" s="93" t="s">
        <v>619</v>
      </c>
      <c r="G48" s="42"/>
      <c r="H48" s="42"/>
      <c r="I48" s="42"/>
      <c r="J48" s="42"/>
      <c r="K48" s="42"/>
      <c r="L48" s="42"/>
      <c r="M48" s="42"/>
    </row>
    <row r="49">
      <c r="A49" s="44">
        <v>45421.0</v>
      </c>
      <c r="B49" s="40" t="s">
        <v>79</v>
      </c>
      <c r="C49" s="93">
        <v>18.79</v>
      </c>
      <c r="D49" s="93" t="s">
        <v>584</v>
      </c>
      <c r="E49" s="90"/>
      <c r="G49" s="42"/>
      <c r="H49" s="42"/>
      <c r="I49" s="42"/>
      <c r="J49" s="42"/>
      <c r="K49" s="42"/>
      <c r="L49" s="42"/>
      <c r="M49" s="42"/>
    </row>
    <row r="50">
      <c r="A50" s="44">
        <v>45421.0</v>
      </c>
      <c r="B50" s="40" t="s">
        <v>15</v>
      </c>
      <c r="C50" s="93">
        <v>1.77</v>
      </c>
      <c r="D50" s="93" t="s">
        <v>620</v>
      </c>
      <c r="E50" s="90"/>
      <c r="G50" s="42"/>
      <c r="H50" s="42"/>
      <c r="I50" s="42"/>
      <c r="J50" s="42"/>
      <c r="K50" s="42"/>
      <c r="L50" s="42"/>
      <c r="M50" s="42"/>
    </row>
    <row r="51">
      <c r="A51" s="44">
        <v>45422.0</v>
      </c>
      <c r="B51" s="40" t="s">
        <v>22</v>
      </c>
      <c r="C51" s="93">
        <v>19.69</v>
      </c>
      <c r="D51" s="93" t="s">
        <v>22</v>
      </c>
      <c r="E51" s="90"/>
      <c r="G51" s="42"/>
      <c r="H51" s="42"/>
      <c r="I51" s="42"/>
      <c r="J51" s="42"/>
      <c r="K51" s="42"/>
      <c r="L51" s="42"/>
      <c r="M51" s="42"/>
    </row>
    <row r="52">
      <c r="A52" s="44">
        <v>45422.0</v>
      </c>
      <c r="B52" s="40" t="s">
        <v>25</v>
      </c>
      <c r="C52" s="93">
        <v>98.4</v>
      </c>
      <c r="D52" s="93" t="s">
        <v>621</v>
      </c>
      <c r="E52" s="90"/>
      <c r="G52" s="42"/>
      <c r="H52" s="42"/>
      <c r="I52" s="42"/>
      <c r="J52" s="42"/>
      <c r="K52" s="42"/>
      <c r="L52" s="42"/>
      <c r="M52" s="42"/>
    </row>
    <row r="53">
      <c r="A53" s="44">
        <v>45422.0</v>
      </c>
      <c r="B53" s="40" t="s">
        <v>25</v>
      </c>
      <c r="C53" s="93">
        <v>33.9</v>
      </c>
      <c r="D53" s="93" t="s">
        <v>622</v>
      </c>
      <c r="E53" s="41"/>
      <c r="G53" s="42"/>
      <c r="H53" s="42"/>
      <c r="I53" s="42"/>
      <c r="J53" s="42"/>
      <c r="K53" s="42"/>
      <c r="L53" s="42"/>
      <c r="M53" s="42"/>
    </row>
    <row r="54">
      <c r="A54" s="44">
        <v>45422.0</v>
      </c>
      <c r="B54" s="40" t="s">
        <v>25</v>
      </c>
      <c r="C54" s="93">
        <v>16.0</v>
      </c>
      <c r="D54" s="93" t="s">
        <v>584</v>
      </c>
      <c r="E54" s="41"/>
      <c r="G54" s="42"/>
      <c r="H54" s="42"/>
      <c r="I54" s="42"/>
      <c r="J54" s="42"/>
      <c r="K54" s="42"/>
      <c r="L54" s="42"/>
      <c r="M54" s="42"/>
    </row>
    <row r="55">
      <c r="A55" s="44">
        <v>45422.0</v>
      </c>
      <c r="B55" s="40" t="s">
        <v>79</v>
      </c>
      <c r="C55" s="93">
        <v>72.0</v>
      </c>
      <c r="D55" s="93" t="s">
        <v>623</v>
      </c>
      <c r="E55" s="41"/>
      <c r="G55" s="42"/>
      <c r="H55" s="42"/>
      <c r="I55" s="42"/>
      <c r="J55" s="42"/>
      <c r="K55" s="42"/>
      <c r="L55" s="42"/>
      <c r="M55" s="42"/>
    </row>
    <row r="56">
      <c r="A56" s="44">
        <v>45424.0</v>
      </c>
      <c r="B56" s="40" t="s">
        <v>17</v>
      </c>
      <c r="C56" s="93">
        <v>107.0</v>
      </c>
      <c r="D56" s="93" t="s">
        <v>624</v>
      </c>
      <c r="E56" s="41"/>
      <c r="G56" s="42"/>
      <c r="H56" s="42"/>
      <c r="I56" s="42"/>
      <c r="J56" s="42"/>
      <c r="K56" s="42"/>
      <c r="L56" s="42"/>
      <c r="M56" s="42"/>
    </row>
    <row r="57">
      <c r="A57" s="91">
        <v>45425.0</v>
      </c>
      <c r="B57" s="40" t="s">
        <v>79</v>
      </c>
      <c r="C57" s="93">
        <v>155.0</v>
      </c>
      <c r="D57" s="93" t="s">
        <v>625</v>
      </c>
      <c r="E57" s="41"/>
      <c r="G57" s="42"/>
      <c r="H57" s="42"/>
      <c r="I57" s="42"/>
      <c r="J57" s="42"/>
      <c r="K57" s="42"/>
      <c r="L57" s="42"/>
      <c r="M57" s="42"/>
    </row>
    <row r="58">
      <c r="A58" s="44">
        <v>45425.0</v>
      </c>
      <c r="B58" s="40" t="s">
        <v>15</v>
      </c>
      <c r="C58" s="93">
        <v>43.98</v>
      </c>
      <c r="D58" s="93" t="s">
        <v>47</v>
      </c>
      <c r="E58" s="41"/>
      <c r="G58" s="42"/>
      <c r="H58" s="42"/>
      <c r="I58" s="42"/>
      <c r="J58" s="42"/>
      <c r="K58" s="42"/>
      <c r="L58" s="42"/>
      <c r="M58" s="42"/>
    </row>
    <row r="59">
      <c r="A59" s="44">
        <v>45425.0</v>
      </c>
      <c r="B59" s="40" t="s">
        <v>25</v>
      </c>
      <c r="C59" s="93">
        <v>42.62</v>
      </c>
      <c r="D59" s="93" t="s">
        <v>584</v>
      </c>
      <c r="E59" s="41"/>
      <c r="G59" s="42"/>
      <c r="H59" s="42"/>
      <c r="I59" s="42"/>
      <c r="J59" s="42"/>
      <c r="K59" s="42"/>
      <c r="L59" s="42"/>
      <c r="M59" s="42"/>
    </row>
    <row r="60">
      <c r="A60" s="44">
        <v>45426.0</v>
      </c>
      <c r="B60" s="40" t="s">
        <v>25</v>
      </c>
      <c r="C60" s="93">
        <v>24.77</v>
      </c>
      <c r="D60" s="93" t="s">
        <v>626</v>
      </c>
      <c r="E60" s="41"/>
      <c r="G60" s="42"/>
      <c r="H60" s="42"/>
      <c r="I60" s="42"/>
      <c r="J60" s="42"/>
      <c r="K60" s="42"/>
      <c r="L60" s="42"/>
      <c r="M60" s="42"/>
    </row>
    <row r="61">
      <c r="A61" s="48">
        <v>45427.0</v>
      </c>
      <c r="B61" s="40" t="s">
        <v>25</v>
      </c>
      <c r="C61" s="93">
        <v>19.0</v>
      </c>
      <c r="D61" s="93" t="s">
        <v>584</v>
      </c>
      <c r="E61" s="41"/>
      <c r="G61" s="42"/>
      <c r="H61" s="42"/>
      <c r="I61" s="42"/>
      <c r="J61" s="42"/>
      <c r="K61" s="42"/>
      <c r="L61" s="42"/>
      <c r="M61" s="42"/>
    </row>
    <row r="62">
      <c r="A62" s="48">
        <v>45428.0</v>
      </c>
      <c r="B62" s="40" t="s">
        <v>25</v>
      </c>
      <c r="C62" s="93">
        <v>4.0</v>
      </c>
      <c r="D62" s="93" t="s">
        <v>627</v>
      </c>
      <c r="E62" s="41"/>
      <c r="G62" s="42"/>
      <c r="H62" s="42"/>
      <c r="I62" s="42"/>
      <c r="J62" s="42"/>
      <c r="K62" s="42"/>
      <c r="L62" s="42"/>
      <c r="M62" s="42"/>
    </row>
    <row r="63">
      <c r="A63" s="48">
        <v>45428.0</v>
      </c>
      <c r="B63" s="40" t="s">
        <v>17</v>
      </c>
      <c r="C63" s="93">
        <v>12.0</v>
      </c>
      <c r="D63" s="93" t="s">
        <v>628</v>
      </c>
      <c r="E63" s="41"/>
      <c r="G63" s="42"/>
      <c r="H63" s="42"/>
      <c r="I63" s="42"/>
      <c r="J63" s="42"/>
      <c r="K63" s="42"/>
      <c r="L63" s="42"/>
      <c r="M63" s="42"/>
    </row>
    <row r="64">
      <c r="A64" s="48">
        <v>45429.0</v>
      </c>
      <c r="B64" s="40" t="s">
        <v>15</v>
      </c>
      <c r="C64" s="41">
        <v>25.19</v>
      </c>
      <c r="D64" s="41" t="s">
        <v>629</v>
      </c>
      <c r="E64" s="41"/>
      <c r="G64" s="42"/>
      <c r="H64" s="42"/>
      <c r="I64" s="42"/>
      <c r="J64" s="42"/>
      <c r="K64" s="42"/>
      <c r="L64" s="42"/>
      <c r="M64" s="42"/>
    </row>
    <row r="65">
      <c r="A65" s="44">
        <v>45429.0</v>
      </c>
      <c r="B65" s="40" t="s">
        <v>25</v>
      </c>
      <c r="C65" s="93">
        <v>300.0</v>
      </c>
      <c r="D65" s="41" t="s">
        <v>630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45430.0</v>
      </c>
      <c r="B66" s="40" t="s">
        <v>25</v>
      </c>
      <c r="C66" s="41">
        <v>15.89</v>
      </c>
      <c r="D66" s="41" t="s">
        <v>83</v>
      </c>
      <c r="E66" s="41"/>
      <c r="G66" s="42"/>
      <c r="H66" s="42"/>
      <c r="I66" s="42"/>
      <c r="J66" s="42"/>
      <c r="K66" s="42"/>
      <c r="L66" s="42"/>
      <c r="M66" s="42"/>
    </row>
    <row r="67">
      <c r="A67" s="44">
        <v>45430.0</v>
      </c>
      <c r="B67" s="40" t="s">
        <v>24</v>
      </c>
      <c r="C67" s="41">
        <v>15.64</v>
      </c>
      <c r="D67" s="41" t="s">
        <v>631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45433.0</v>
      </c>
      <c r="B68" s="40" t="s">
        <v>25</v>
      </c>
      <c r="C68" s="41">
        <v>52.15</v>
      </c>
      <c r="D68" s="41" t="s">
        <v>119</v>
      </c>
      <c r="E68" s="41"/>
      <c r="G68" s="42"/>
      <c r="H68" s="42"/>
      <c r="I68" s="42"/>
      <c r="J68" s="42"/>
      <c r="K68" s="42"/>
      <c r="L68" s="42"/>
      <c r="M68" s="42"/>
    </row>
    <row r="69">
      <c r="A69" s="44">
        <v>45436.0</v>
      </c>
      <c r="B69" s="40" t="s">
        <v>14</v>
      </c>
      <c r="C69" s="41">
        <f>131.3*2</f>
        <v>262.6</v>
      </c>
      <c r="D69" s="41" t="s">
        <v>43</v>
      </c>
      <c r="E69" s="41"/>
      <c r="F69" s="19" t="s">
        <v>632</v>
      </c>
      <c r="G69" s="99">
        <v>36.3</v>
      </c>
      <c r="H69" s="42"/>
      <c r="I69" s="42"/>
      <c r="J69" s="42"/>
      <c r="K69" s="42"/>
      <c r="L69" s="42"/>
      <c r="M69" s="42"/>
    </row>
    <row r="70">
      <c r="A70" s="44">
        <v>45436.0</v>
      </c>
      <c r="B70" s="40" t="s">
        <v>17</v>
      </c>
      <c r="C70" s="41">
        <v>10.66</v>
      </c>
      <c r="D70" s="41" t="s">
        <v>633</v>
      </c>
      <c r="E70" s="41"/>
      <c r="G70" s="42"/>
      <c r="H70" s="42"/>
      <c r="I70" s="42"/>
      <c r="J70" s="42"/>
      <c r="K70" s="42"/>
      <c r="L70" s="42"/>
      <c r="M70" s="42"/>
    </row>
    <row r="71">
      <c r="A71" s="44">
        <v>45437.0</v>
      </c>
      <c r="B71" s="40" t="s">
        <v>19</v>
      </c>
      <c r="C71" s="41">
        <v>68.85</v>
      </c>
      <c r="D71" s="41" t="s">
        <v>634</v>
      </c>
      <c r="E71" s="41"/>
      <c r="G71" s="42"/>
      <c r="H71" s="42"/>
      <c r="I71" s="42"/>
      <c r="J71" s="42"/>
      <c r="K71" s="42"/>
      <c r="L71" s="42"/>
      <c r="M71" s="42"/>
    </row>
    <row r="72">
      <c r="A72" s="44">
        <v>45439.0</v>
      </c>
      <c r="B72" s="40" t="s">
        <v>25</v>
      </c>
      <c r="C72" s="41">
        <v>12.12</v>
      </c>
      <c r="D72" s="41" t="s">
        <v>584</v>
      </c>
      <c r="E72" s="41"/>
      <c r="G72" s="42"/>
      <c r="H72" s="42"/>
      <c r="I72" s="42"/>
      <c r="J72" s="42"/>
      <c r="K72" s="42"/>
      <c r="L72" s="42"/>
      <c r="M72" s="42"/>
    </row>
    <row r="73">
      <c r="A73" s="44">
        <v>45439.0</v>
      </c>
      <c r="B73" s="40" t="s">
        <v>17</v>
      </c>
      <c r="C73" s="41">
        <v>21.15</v>
      </c>
      <c r="D73" s="41" t="s">
        <v>77</v>
      </c>
      <c r="E73" s="41"/>
      <c r="G73" s="42"/>
      <c r="H73" s="42"/>
      <c r="I73" s="42"/>
      <c r="J73" s="42"/>
      <c r="K73" s="42"/>
      <c r="L73" s="42"/>
      <c r="M73" s="42"/>
    </row>
    <row r="74">
      <c r="A74" s="44">
        <v>45439.0</v>
      </c>
      <c r="B74" s="40" t="s">
        <v>79</v>
      </c>
      <c r="C74" s="41">
        <v>116.0</v>
      </c>
      <c r="D74" s="41" t="s">
        <v>635</v>
      </c>
      <c r="E74" s="41"/>
      <c r="G74" s="42"/>
      <c r="H74" s="42"/>
      <c r="I74" s="42"/>
      <c r="J74" s="42"/>
      <c r="K74" s="42"/>
      <c r="L74" s="42"/>
      <c r="M74" s="42"/>
    </row>
    <row r="75">
      <c r="A75" s="44">
        <v>45441.0</v>
      </c>
      <c r="B75" s="40" t="s">
        <v>14</v>
      </c>
      <c r="C75" s="41">
        <v>130.0</v>
      </c>
      <c r="D75" s="41" t="s">
        <v>636</v>
      </c>
      <c r="E75" s="41"/>
      <c r="G75" s="42"/>
      <c r="H75" s="42"/>
      <c r="I75" s="42"/>
      <c r="J75" s="42"/>
      <c r="K75" s="42"/>
      <c r="L75" s="42"/>
      <c r="M75" s="42"/>
    </row>
    <row r="76">
      <c r="A76" s="44">
        <v>45427.0</v>
      </c>
      <c r="B76" s="40" t="s">
        <v>25</v>
      </c>
      <c r="C76" s="41">
        <v>8.65</v>
      </c>
      <c r="D76" s="41" t="s">
        <v>511</v>
      </c>
      <c r="E76" s="41"/>
      <c r="G76" s="42"/>
      <c r="H76" s="42"/>
      <c r="I76" s="42"/>
      <c r="J76" s="42"/>
      <c r="K76" s="42"/>
      <c r="L76" s="42"/>
      <c r="M76" s="42"/>
    </row>
    <row r="77">
      <c r="A77" s="44">
        <v>45418.0</v>
      </c>
      <c r="B77" s="40" t="s">
        <v>17</v>
      </c>
      <c r="C77" s="41">
        <v>20.93</v>
      </c>
      <c r="D77" s="41" t="s">
        <v>613</v>
      </c>
      <c r="E77" s="41"/>
      <c r="G77" s="42"/>
      <c r="H77" s="42"/>
      <c r="I77" s="42"/>
      <c r="J77" s="42"/>
      <c r="K77" s="42"/>
      <c r="L77" s="42"/>
      <c r="M77" s="42"/>
    </row>
    <row r="78">
      <c r="A78" s="44">
        <v>45417.0</v>
      </c>
      <c r="B78" s="40" t="s">
        <v>25</v>
      </c>
      <c r="C78" s="41">
        <v>56.0</v>
      </c>
      <c r="D78" s="41" t="s">
        <v>637</v>
      </c>
      <c r="E78" s="41"/>
      <c r="G78" s="42"/>
      <c r="H78" s="42"/>
      <c r="I78" s="42"/>
      <c r="J78" s="42"/>
      <c r="K78" s="42"/>
      <c r="L78" s="42"/>
      <c r="M78" s="42"/>
    </row>
    <row r="79">
      <c r="A79" s="44">
        <v>45417.0</v>
      </c>
      <c r="B79" s="40" t="s">
        <v>17</v>
      </c>
      <c r="C79" s="41">
        <v>5.25</v>
      </c>
      <c r="D79" s="41" t="s">
        <v>638</v>
      </c>
      <c r="E79" s="41"/>
      <c r="G79" s="42"/>
      <c r="H79" s="42"/>
      <c r="I79" s="42"/>
      <c r="J79" s="42"/>
      <c r="K79" s="42"/>
      <c r="L79" s="42"/>
      <c r="M79" s="42"/>
    </row>
    <row r="80">
      <c r="A80" s="44">
        <v>45441.0</v>
      </c>
      <c r="B80" s="40" t="s">
        <v>17</v>
      </c>
      <c r="C80" s="41">
        <v>15.17</v>
      </c>
      <c r="D80" s="41" t="s">
        <v>609</v>
      </c>
      <c r="E80" s="41"/>
      <c r="G80" s="42"/>
      <c r="H80" s="42"/>
      <c r="I80" s="42"/>
      <c r="J80" s="42"/>
      <c r="K80" s="42"/>
      <c r="L80" s="42"/>
      <c r="M80" s="42"/>
    </row>
    <row r="81">
      <c r="A81" s="44">
        <v>45440.0</v>
      </c>
      <c r="B81" s="40" t="s">
        <v>15</v>
      </c>
      <c r="C81" s="41">
        <v>92.11</v>
      </c>
      <c r="D81" s="41" t="s">
        <v>47</v>
      </c>
      <c r="E81" s="41"/>
      <c r="G81" s="42"/>
      <c r="H81" s="42"/>
      <c r="I81" s="42"/>
      <c r="J81" s="42"/>
      <c r="K81" s="42"/>
      <c r="L81" s="42"/>
      <c r="M81" s="42"/>
    </row>
    <row r="82">
      <c r="A82" s="44">
        <v>45439.0</v>
      </c>
      <c r="B82" s="40" t="s">
        <v>22</v>
      </c>
      <c r="C82" s="41">
        <v>42.74</v>
      </c>
      <c r="D82" s="41" t="s">
        <v>22</v>
      </c>
      <c r="E82" s="41"/>
      <c r="G82" s="42"/>
      <c r="H82" s="42"/>
      <c r="I82" s="42"/>
      <c r="J82" s="42"/>
      <c r="K82" s="42"/>
      <c r="L82" s="42"/>
      <c r="M82" s="42"/>
    </row>
    <row r="83">
      <c r="A83" s="44">
        <v>45439.0</v>
      </c>
      <c r="B83" s="40" t="s">
        <v>17</v>
      </c>
      <c r="C83" s="41">
        <v>9.52</v>
      </c>
      <c r="D83" s="41" t="s">
        <v>639</v>
      </c>
      <c r="E83" s="41"/>
      <c r="G83" s="42"/>
      <c r="H83" s="42"/>
      <c r="I83" s="42"/>
      <c r="J83" s="42"/>
      <c r="K83" s="42"/>
      <c r="L83" s="42"/>
      <c r="M83" s="42"/>
    </row>
    <row r="84">
      <c r="A84" s="44">
        <v>45438.0</v>
      </c>
      <c r="B84" s="40" t="s">
        <v>25</v>
      </c>
      <c r="C84" s="41">
        <v>21.3</v>
      </c>
      <c r="D84" s="41" t="s">
        <v>640</v>
      </c>
      <c r="E84" s="41"/>
      <c r="G84" s="42"/>
      <c r="H84" s="42"/>
      <c r="I84" s="42"/>
      <c r="J84" s="42"/>
      <c r="K84" s="42"/>
      <c r="L84" s="42"/>
      <c r="M84" s="42"/>
    </row>
    <row r="85">
      <c r="A85" s="44">
        <v>45436.0</v>
      </c>
      <c r="B85" s="40" t="s">
        <v>17</v>
      </c>
      <c r="C85" s="41">
        <v>42.58</v>
      </c>
      <c r="D85" s="41" t="s">
        <v>641</v>
      </c>
      <c r="E85" s="41"/>
      <c r="G85" s="42"/>
      <c r="H85" s="42"/>
      <c r="I85" s="42"/>
      <c r="J85" s="42"/>
      <c r="K85" s="42"/>
      <c r="L85" s="42"/>
      <c r="M85" s="42"/>
    </row>
    <row r="86">
      <c r="A86" s="44">
        <v>45436.0</v>
      </c>
      <c r="B86" s="40" t="s">
        <v>22</v>
      </c>
      <c r="C86" s="41">
        <v>47.68</v>
      </c>
      <c r="D86" s="41" t="s">
        <v>22</v>
      </c>
      <c r="E86" s="41"/>
      <c r="G86" s="42"/>
      <c r="H86" s="42"/>
      <c r="I86" s="42"/>
      <c r="J86" s="42"/>
      <c r="K86" s="42"/>
      <c r="L86" s="42"/>
      <c r="M86" s="42"/>
    </row>
    <row r="87">
      <c r="A87" s="44">
        <v>45433.0</v>
      </c>
      <c r="B87" s="40" t="s">
        <v>14</v>
      </c>
      <c r="C87" s="41">
        <v>12.0</v>
      </c>
      <c r="D87" s="41" t="s">
        <v>642</v>
      </c>
      <c r="E87" s="41"/>
      <c r="G87" s="42"/>
      <c r="H87" s="42"/>
      <c r="I87" s="42"/>
      <c r="J87" s="42"/>
      <c r="K87" s="42"/>
      <c r="L87" s="42"/>
      <c r="M87" s="42"/>
    </row>
    <row r="88">
      <c r="A88" s="44">
        <v>45432.0</v>
      </c>
      <c r="B88" s="40" t="s">
        <v>571</v>
      </c>
      <c r="C88" s="41">
        <v>95.0</v>
      </c>
      <c r="D88" s="41" t="s">
        <v>293</v>
      </c>
      <c r="E88" s="41"/>
      <c r="G88" s="42"/>
      <c r="H88" s="42"/>
      <c r="I88" s="42"/>
      <c r="J88" s="42"/>
      <c r="K88" s="42"/>
      <c r="L88" s="42"/>
      <c r="M88" s="42"/>
    </row>
    <row r="89">
      <c r="A89" s="44">
        <v>45432.0</v>
      </c>
      <c r="B89" s="40" t="s">
        <v>15</v>
      </c>
      <c r="C89" s="41">
        <v>19.97</v>
      </c>
      <c r="D89" s="41" t="s">
        <v>643</v>
      </c>
      <c r="E89" s="41"/>
      <c r="G89" s="42"/>
      <c r="H89" s="42"/>
      <c r="I89" s="42"/>
      <c r="J89" s="42"/>
      <c r="K89" s="42"/>
      <c r="L89" s="42"/>
      <c r="M89" s="42"/>
    </row>
    <row r="90">
      <c r="A90" s="44">
        <v>45432.0</v>
      </c>
      <c r="B90" s="40" t="s">
        <v>571</v>
      </c>
      <c r="C90" s="41">
        <v>35.0</v>
      </c>
      <c r="D90" s="41" t="s">
        <v>644</v>
      </c>
      <c r="E90" s="41"/>
      <c r="G90" s="42"/>
      <c r="H90" s="42"/>
      <c r="I90" s="42"/>
      <c r="J90" s="42"/>
      <c r="K90" s="42"/>
      <c r="L90" s="42"/>
      <c r="M90" s="42"/>
    </row>
    <row r="91">
      <c r="A91" s="44">
        <v>45432.0</v>
      </c>
      <c r="B91" s="40" t="s">
        <v>15</v>
      </c>
      <c r="C91" s="41">
        <v>3.17</v>
      </c>
      <c r="D91" s="41" t="s">
        <v>563</v>
      </c>
      <c r="E91" s="41"/>
      <c r="G91" s="42"/>
      <c r="H91" s="42"/>
      <c r="I91" s="42"/>
      <c r="J91" s="42"/>
      <c r="K91" s="42"/>
      <c r="L91" s="42"/>
      <c r="M91" s="42"/>
    </row>
    <row r="92">
      <c r="A92" s="44">
        <v>45432.0</v>
      </c>
      <c r="B92" s="40" t="s">
        <v>15</v>
      </c>
      <c r="C92" s="41">
        <v>64.68</v>
      </c>
      <c r="D92" s="41" t="s">
        <v>47</v>
      </c>
      <c r="E92" s="41"/>
      <c r="G92" s="42"/>
      <c r="H92" s="42"/>
      <c r="I92" s="42"/>
      <c r="J92" s="42"/>
      <c r="K92" s="42"/>
      <c r="L92" s="42"/>
      <c r="M92" s="42"/>
    </row>
    <row r="93">
      <c r="A93" s="44">
        <v>45432.0</v>
      </c>
      <c r="B93" s="40" t="s">
        <v>571</v>
      </c>
      <c r="C93" s="41">
        <v>77.21</v>
      </c>
      <c r="D93" s="41" t="s">
        <v>645</v>
      </c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</sheetData>
  <autoFilter ref="$A$33:$D$93"/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101">
      <formula1>'Hidden list and Figures'!$A$3:$A$15</formula1>
    </dataValidation>
    <dataValidation type="custom" allowBlank="1" showDropDown="1" showInputMessage="1" prompt="Select a date" sqref="A34:A101">
      <formula1>OR(NOT(ISERROR(DATEVALUE(A34))), AND(ISNUMBER(A34), LEFT(CELL("format", A34))="D"))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sumif($B$20:$C$101,A6,$C$20:$C$101)</f>
        <v>3432.976667</v>
      </c>
      <c r="D6" s="17">
        <f t="shared" ref="D6:D16" si="2">B6-C6</f>
        <v>-769.2966667</v>
      </c>
      <c r="E6" s="18">
        <f t="shared" ref="E6:E17" si="3">D6/B6</f>
        <v>-0.2888097169</v>
      </c>
      <c r="G6" s="19" t="s">
        <v>11</v>
      </c>
      <c r="H6" s="96">
        <f>3061+3061</f>
        <v>6122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f>3410+3395</f>
        <v>6805</v>
      </c>
    </row>
    <row r="8">
      <c r="A8" s="21" t="s">
        <v>14</v>
      </c>
      <c r="B8" s="22">
        <v>250.0</v>
      </c>
      <c r="C8" s="22">
        <f t="shared" si="1"/>
        <v>0</v>
      </c>
      <c r="D8" s="23">
        <f t="shared" si="2"/>
        <v>250</v>
      </c>
      <c r="E8" s="18">
        <f t="shared" si="3"/>
        <v>1</v>
      </c>
      <c r="G8" s="64" t="s">
        <v>27</v>
      </c>
      <c r="H8" s="92">
        <f>SUM(H6:H7)</f>
        <v>12927</v>
      </c>
    </row>
    <row r="9">
      <c r="A9" s="24" t="s">
        <v>15</v>
      </c>
      <c r="B9" s="22">
        <v>400.0</v>
      </c>
      <c r="C9" s="22">
        <f t="shared" si="1"/>
        <v>658.35</v>
      </c>
      <c r="D9" s="23">
        <f t="shared" si="2"/>
        <v>-258.35</v>
      </c>
      <c r="E9" s="18">
        <f t="shared" si="3"/>
        <v>-0.645875</v>
      </c>
    </row>
    <row r="10">
      <c r="A10" s="24" t="s">
        <v>17</v>
      </c>
      <c r="B10" s="22">
        <v>400.0</v>
      </c>
      <c r="C10" s="22">
        <f t="shared" si="1"/>
        <v>746.7</v>
      </c>
      <c r="D10" s="23">
        <f t="shared" si="2"/>
        <v>-346.7</v>
      </c>
      <c r="E10" s="18">
        <f t="shared" si="3"/>
        <v>-0.86675</v>
      </c>
      <c r="G10" s="13" t="s">
        <v>16</v>
      </c>
      <c r="H10" s="14"/>
    </row>
    <row r="11">
      <c r="A11" s="22" t="s">
        <v>19</v>
      </c>
      <c r="B11" s="22">
        <v>200.0</v>
      </c>
      <c r="C11" s="22">
        <f t="shared" si="1"/>
        <v>213.67</v>
      </c>
      <c r="D11" s="23">
        <f t="shared" si="2"/>
        <v>-13.67</v>
      </c>
      <c r="E11" s="18">
        <f t="shared" si="3"/>
        <v>-0.06835</v>
      </c>
      <c r="G11" s="19" t="s">
        <v>18</v>
      </c>
      <c r="H11" s="14">
        <f>sum(C17)</f>
        <v>8363.716667</v>
      </c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H12" s="14"/>
    </row>
    <row r="13">
      <c r="A13" s="25" t="s">
        <v>22</v>
      </c>
      <c r="B13" s="22">
        <v>200.0</v>
      </c>
      <c r="C13" s="22">
        <f t="shared" ref="C13:C16" si="4">sumif($B$20:$C$101,A13,$C$20:$C$101)</f>
        <v>60</v>
      </c>
      <c r="D13" s="23">
        <f t="shared" si="2"/>
        <v>140</v>
      </c>
      <c r="E13" s="18">
        <f t="shared" si="3"/>
        <v>0.7</v>
      </c>
      <c r="G13" s="13" t="s">
        <v>21</v>
      </c>
      <c r="H13" s="14"/>
    </row>
    <row r="14">
      <c r="A14" s="26" t="s">
        <v>24</v>
      </c>
      <c r="B14" s="27">
        <v>0.0</v>
      </c>
      <c r="C14" s="22">
        <f t="shared" si="4"/>
        <v>0</v>
      </c>
      <c r="D14" s="23">
        <f t="shared" si="2"/>
        <v>0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2752.02</v>
      </c>
      <c r="D15" s="28">
        <f t="shared" si="2"/>
        <v>-2452.02</v>
      </c>
      <c r="E15" s="18">
        <f t="shared" si="3"/>
        <v>-8.1734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22">
        <f t="shared" si="4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SUMIF($B$20:$C$123,"Travel",$C$20:$C$123)</f>
        <v>0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5">SUM(B6:B16)</f>
        <v>4913.68</v>
      </c>
      <c r="C17" s="31">
        <f t="shared" si="5"/>
        <v>8363.716667</v>
      </c>
      <c r="D17" s="31">
        <f>SUM(D6:D15)</f>
        <v>-3450.036667</v>
      </c>
      <c r="E17" s="18">
        <f t="shared" si="3"/>
        <v>-0.7021288864</v>
      </c>
      <c r="F17" s="36"/>
      <c r="G17" s="13" t="s">
        <v>28</v>
      </c>
      <c r="H17" s="33">
        <f>500-SUMIF($B$20:$C$123,"Travel",$C$20:$C$123)+'May 2024'!H17</f>
        <v>859.45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2900.0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40.0</v>
      </c>
      <c r="D21" s="95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85.0</v>
      </c>
      <c r="D22" s="95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42.62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87.0</v>
      </c>
      <c r="D24" s="95" t="s">
        <v>22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77/12</f>
        <v>6.416666667</v>
      </c>
      <c r="D25" s="41" t="s">
        <v>529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144.0</v>
      </c>
      <c r="D26" s="41" t="s">
        <v>23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2.87</v>
      </c>
      <c r="D27" s="41" t="s">
        <v>39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2.99</v>
      </c>
      <c r="D28" s="41" t="s">
        <v>40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5.83</v>
      </c>
      <c r="D29" s="41" t="s">
        <v>41</v>
      </c>
      <c r="E29" s="41"/>
      <c r="G29" s="42"/>
      <c r="H29" s="42"/>
      <c r="I29" s="42"/>
      <c r="J29" s="42"/>
      <c r="K29" s="42"/>
      <c r="L29" s="42"/>
      <c r="M29" s="42"/>
    </row>
    <row r="30">
      <c r="A30" s="40" t="s">
        <v>32</v>
      </c>
      <c r="B30" s="40" t="s">
        <v>10</v>
      </c>
      <c r="C30" s="41">
        <v>6.25</v>
      </c>
      <c r="D30" s="41" t="s">
        <v>488</v>
      </c>
      <c r="E30" s="41"/>
      <c r="G30" s="42"/>
      <c r="H30" s="42"/>
      <c r="I30" s="42"/>
      <c r="J30" s="42"/>
      <c r="K30" s="42"/>
      <c r="L30" s="42"/>
      <c r="M30" s="42"/>
    </row>
    <row r="31">
      <c r="A31" s="40" t="s">
        <v>32</v>
      </c>
      <c r="B31" s="40" t="s">
        <v>10</v>
      </c>
      <c r="C31" s="41">
        <v>110.0</v>
      </c>
      <c r="D31" s="41" t="s">
        <v>42</v>
      </c>
      <c r="E31" s="41"/>
      <c r="G31" s="42"/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G32" s="42"/>
      <c r="H32" s="42"/>
      <c r="I32" s="42"/>
      <c r="J32" s="42"/>
      <c r="K32" s="42"/>
      <c r="L32" s="42"/>
      <c r="M32" s="42"/>
    </row>
    <row r="33">
      <c r="A33" s="43"/>
      <c r="B33" s="40"/>
      <c r="C33" s="41"/>
      <c r="D33" s="41"/>
      <c r="E33" s="41"/>
      <c r="G33" s="42"/>
      <c r="H33" s="42"/>
      <c r="I33" s="42"/>
      <c r="J33" s="42"/>
      <c r="K33" s="42"/>
      <c r="L33" s="42"/>
      <c r="M33" s="42"/>
    </row>
    <row r="34">
      <c r="A34" s="91">
        <v>45444.0</v>
      </c>
      <c r="B34" s="40" t="s">
        <v>25</v>
      </c>
      <c r="C34" s="41">
        <v>56.0</v>
      </c>
      <c r="D34" s="41" t="s">
        <v>646</v>
      </c>
      <c r="G34" s="42"/>
      <c r="H34" s="42"/>
      <c r="I34" s="42"/>
      <c r="J34" s="42"/>
      <c r="K34" s="42"/>
      <c r="L34" s="42"/>
      <c r="M34" s="42"/>
    </row>
    <row r="35">
      <c r="A35" s="91">
        <v>45444.0</v>
      </c>
      <c r="B35" s="40" t="s">
        <v>25</v>
      </c>
      <c r="C35" s="41">
        <v>995.0</v>
      </c>
      <c r="D35" s="41" t="s">
        <v>647</v>
      </c>
      <c r="G35" s="42"/>
      <c r="H35" s="42"/>
      <c r="I35" s="42"/>
      <c r="J35" s="42"/>
      <c r="K35" s="42"/>
      <c r="L35" s="42"/>
      <c r="M35" s="42"/>
    </row>
    <row r="36">
      <c r="A36" s="91">
        <v>45445.0</v>
      </c>
      <c r="B36" s="40" t="s">
        <v>25</v>
      </c>
      <c r="C36" s="98">
        <v>14.7</v>
      </c>
      <c r="D36" s="98" t="s">
        <v>648</v>
      </c>
      <c r="G36" s="42"/>
      <c r="H36" s="42"/>
      <c r="I36" s="42"/>
      <c r="J36" s="42"/>
      <c r="K36" s="42"/>
      <c r="L36" s="42"/>
      <c r="M36" s="42"/>
    </row>
    <row r="37">
      <c r="A37" s="44">
        <v>45468.0</v>
      </c>
      <c r="B37" s="40" t="s">
        <v>25</v>
      </c>
      <c r="C37" s="93">
        <v>826.0</v>
      </c>
      <c r="D37" s="93" t="s">
        <v>649</v>
      </c>
      <c r="G37" s="42"/>
      <c r="H37" s="42"/>
      <c r="I37" s="42"/>
      <c r="J37" s="42"/>
      <c r="K37" s="42"/>
      <c r="L37" s="42"/>
      <c r="M37" s="42"/>
    </row>
    <row r="38">
      <c r="A38" s="44">
        <v>45472.0</v>
      </c>
      <c r="B38" s="40" t="s">
        <v>15</v>
      </c>
      <c r="C38" s="93">
        <v>46.82</v>
      </c>
      <c r="D38" s="93" t="s">
        <v>629</v>
      </c>
      <c r="G38" s="42"/>
      <c r="H38" s="42"/>
      <c r="I38" s="42"/>
      <c r="J38" s="42"/>
      <c r="K38" s="42"/>
      <c r="L38" s="42"/>
      <c r="M38" s="42"/>
    </row>
    <row r="39">
      <c r="A39" s="44">
        <v>45473.0</v>
      </c>
      <c r="B39" s="40" t="s">
        <v>25</v>
      </c>
      <c r="C39" s="93">
        <f>196-28</f>
        <v>168</v>
      </c>
      <c r="D39" s="93" t="s">
        <v>646</v>
      </c>
      <c r="G39" s="42"/>
      <c r="H39" s="42"/>
      <c r="I39" s="42"/>
      <c r="J39" s="42"/>
      <c r="K39" s="42"/>
      <c r="L39" s="42"/>
      <c r="M39" s="42"/>
    </row>
    <row r="40">
      <c r="A40" s="44">
        <v>45473.0</v>
      </c>
      <c r="B40" s="40" t="s">
        <v>17</v>
      </c>
      <c r="C40" s="93">
        <v>3.4</v>
      </c>
      <c r="D40" s="93" t="s">
        <v>650</v>
      </c>
      <c r="G40" s="42"/>
      <c r="H40" s="42"/>
      <c r="I40" s="42"/>
      <c r="J40" s="42"/>
      <c r="K40" s="42"/>
      <c r="L40" s="42"/>
      <c r="M40" s="42"/>
    </row>
    <row r="41">
      <c r="A41" s="44">
        <v>45470.0</v>
      </c>
      <c r="B41" s="40" t="s">
        <v>17</v>
      </c>
      <c r="C41" s="93">
        <v>8.02</v>
      </c>
      <c r="D41" s="93" t="s">
        <v>651</v>
      </c>
      <c r="G41" s="42"/>
      <c r="H41" s="42"/>
      <c r="I41" s="42"/>
      <c r="J41" s="42"/>
      <c r="K41" s="42"/>
      <c r="L41" s="42"/>
      <c r="M41" s="42"/>
    </row>
    <row r="42">
      <c r="A42" s="44">
        <v>45445.0</v>
      </c>
      <c r="B42" s="40" t="s">
        <v>25</v>
      </c>
      <c r="C42" s="93">
        <f>8*2.9</f>
        <v>23.2</v>
      </c>
      <c r="D42" s="93" t="s">
        <v>114</v>
      </c>
      <c r="G42" s="42"/>
      <c r="H42" s="42"/>
      <c r="I42" s="42"/>
      <c r="J42" s="42"/>
      <c r="K42" s="42"/>
      <c r="L42" s="42"/>
      <c r="M42" s="42"/>
    </row>
    <row r="43">
      <c r="A43" s="44">
        <v>45445.0</v>
      </c>
      <c r="B43" s="40" t="s">
        <v>19</v>
      </c>
      <c r="C43" s="93">
        <v>111.32</v>
      </c>
      <c r="D43" s="93" t="s">
        <v>652</v>
      </c>
      <c r="G43" s="42"/>
      <c r="H43" s="42"/>
      <c r="I43" s="42"/>
      <c r="J43" s="42"/>
      <c r="K43" s="42"/>
      <c r="L43" s="42"/>
      <c r="M43" s="42"/>
    </row>
    <row r="44">
      <c r="A44" s="44">
        <v>45445.0</v>
      </c>
      <c r="B44" s="40" t="s">
        <v>19</v>
      </c>
      <c r="C44" s="93">
        <v>18.36</v>
      </c>
      <c r="D44" s="93" t="s">
        <v>653</v>
      </c>
      <c r="G44" s="42"/>
      <c r="H44" s="42"/>
      <c r="I44" s="42"/>
      <c r="J44" s="42"/>
      <c r="K44" s="42"/>
      <c r="L44" s="42"/>
      <c r="M44" s="42"/>
    </row>
    <row r="45">
      <c r="A45" s="44">
        <v>45463.0</v>
      </c>
      <c r="B45" s="40" t="s">
        <v>17</v>
      </c>
      <c r="C45" s="93">
        <v>8.2</v>
      </c>
      <c r="D45" s="93" t="s">
        <v>654</v>
      </c>
      <c r="G45" s="42"/>
      <c r="H45" s="42"/>
      <c r="I45" s="42"/>
      <c r="J45" s="42"/>
      <c r="K45" s="42"/>
      <c r="L45" s="42"/>
      <c r="M45" s="42"/>
    </row>
    <row r="46">
      <c r="A46" s="44">
        <v>45462.0</v>
      </c>
      <c r="B46" s="40" t="s">
        <v>75</v>
      </c>
      <c r="C46" s="93">
        <v>17.05</v>
      </c>
      <c r="D46" s="93" t="s">
        <v>596</v>
      </c>
      <c r="G46" s="42"/>
      <c r="H46" s="42"/>
      <c r="I46" s="42"/>
      <c r="J46" s="42"/>
      <c r="K46" s="42"/>
      <c r="L46" s="42"/>
      <c r="M46" s="42"/>
    </row>
    <row r="47">
      <c r="A47" s="44">
        <v>45471.0</v>
      </c>
      <c r="B47" s="40" t="s">
        <v>25</v>
      </c>
      <c r="C47" s="93">
        <v>14.02</v>
      </c>
      <c r="D47" s="93" t="s">
        <v>655</v>
      </c>
      <c r="G47" s="42"/>
      <c r="H47" s="42"/>
      <c r="I47" s="42"/>
      <c r="J47" s="42"/>
      <c r="K47" s="42"/>
      <c r="L47" s="42"/>
      <c r="M47" s="42"/>
    </row>
    <row r="48">
      <c r="A48" s="44">
        <v>45466.0</v>
      </c>
      <c r="B48" s="40" t="s">
        <v>17</v>
      </c>
      <c r="C48" s="93">
        <v>6.39</v>
      </c>
      <c r="D48" s="93" t="s">
        <v>570</v>
      </c>
      <c r="G48" s="42"/>
      <c r="H48" s="42"/>
      <c r="I48" s="42"/>
      <c r="J48" s="42"/>
      <c r="K48" s="42"/>
      <c r="L48" s="42"/>
      <c r="M48" s="42"/>
    </row>
    <row r="49">
      <c r="A49" s="44">
        <v>45460.0</v>
      </c>
      <c r="B49" s="40" t="s">
        <v>15</v>
      </c>
      <c r="C49" s="93">
        <v>4.77</v>
      </c>
      <c r="D49" s="93" t="s">
        <v>656</v>
      </c>
      <c r="E49" s="90"/>
      <c r="G49" s="42"/>
      <c r="H49" s="42"/>
      <c r="I49" s="42"/>
      <c r="J49" s="42"/>
      <c r="K49" s="42"/>
      <c r="L49" s="42"/>
      <c r="M49" s="42"/>
    </row>
    <row r="50">
      <c r="A50" s="44">
        <v>45473.0</v>
      </c>
      <c r="B50" s="40" t="s">
        <v>17</v>
      </c>
      <c r="C50" s="93">
        <v>5.33</v>
      </c>
      <c r="D50" s="93" t="s">
        <v>657</v>
      </c>
      <c r="E50" s="90"/>
      <c r="G50" s="42"/>
      <c r="H50" s="42"/>
      <c r="I50" s="42"/>
      <c r="J50" s="42"/>
      <c r="K50" s="42"/>
      <c r="L50" s="42"/>
      <c r="M50" s="42"/>
    </row>
    <row r="51">
      <c r="A51" s="44">
        <v>45469.0</v>
      </c>
      <c r="B51" s="40" t="s">
        <v>17</v>
      </c>
      <c r="C51" s="93">
        <v>10.82</v>
      </c>
      <c r="D51" s="93" t="s">
        <v>658</v>
      </c>
      <c r="E51" s="90"/>
      <c r="G51" s="42"/>
      <c r="H51" s="42"/>
      <c r="I51" s="42"/>
      <c r="J51" s="42"/>
      <c r="K51" s="42"/>
      <c r="L51" s="42"/>
      <c r="M51" s="42"/>
    </row>
    <row r="52">
      <c r="A52" s="44">
        <v>45468.0</v>
      </c>
      <c r="B52" s="40" t="s">
        <v>17</v>
      </c>
      <c r="C52" s="93">
        <v>5.46</v>
      </c>
      <c r="D52" s="93" t="s">
        <v>609</v>
      </c>
      <c r="E52" s="90"/>
      <c r="G52" s="42"/>
      <c r="H52" s="42"/>
      <c r="I52" s="42"/>
      <c r="J52" s="42"/>
      <c r="K52" s="42"/>
      <c r="L52" s="42"/>
      <c r="M52" s="42"/>
    </row>
    <row r="53">
      <c r="A53" s="44">
        <v>45467.0</v>
      </c>
      <c r="B53" s="40" t="s">
        <v>17</v>
      </c>
      <c r="C53" s="93">
        <v>24.67</v>
      </c>
      <c r="D53" s="93" t="s">
        <v>596</v>
      </c>
      <c r="E53" s="41"/>
      <c r="G53" s="42"/>
      <c r="H53" s="42"/>
      <c r="I53" s="42"/>
      <c r="J53" s="42"/>
      <c r="K53" s="42"/>
      <c r="L53" s="42"/>
      <c r="M53" s="42"/>
    </row>
    <row r="54">
      <c r="A54" s="44">
        <v>45467.0</v>
      </c>
      <c r="B54" s="40" t="s">
        <v>17</v>
      </c>
      <c r="C54" s="93">
        <v>50.0</v>
      </c>
      <c r="D54" s="93" t="s">
        <v>659</v>
      </c>
      <c r="E54" s="41"/>
      <c r="G54" s="42"/>
      <c r="H54" s="42"/>
      <c r="I54" s="42"/>
      <c r="J54" s="42"/>
      <c r="K54" s="42"/>
      <c r="L54" s="42"/>
      <c r="M54" s="42"/>
    </row>
    <row r="55">
      <c r="A55" s="44">
        <v>45466.0</v>
      </c>
      <c r="B55" s="40" t="s">
        <v>75</v>
      </c>
      <c r="C55" s="93">
        <v>69.23</v>
      </c>
      <c r="D55" s="93" t="s">
        <v>660</v>
      </c>
      <c r="E55" s="41"/>
      <c r="G55" s="42"/>
      <c r="H55" s="42"/>
      <c r="I55" s="42"/>
      <c r="J55" s="42"/>
      <c r="K55" s="42"/>
      <c r="L55" s="42"/>
      <c r="M55" s="42"/>
    </row>
    <row r="56">
      <c r="A56" s="44">
        <v>45465.0</v>
      </c>
      <c r="B56" s="40" t="s">
        <v>17</v>
      </c>
      <c r="C56" s="93">
        <v>28.28</v>
      </c>
      <c r="D56" s="93" t="s">
        <v>661</v>
      </c>
      <c r="E56" s="41"/>
      <c r="G56" s="42"/>
      <c r="H56" s="42"/>
      <c r="I56" s="42"/>
      <c r="J56" s="42"/>
      <c r="K56" s="42"/>
      <c r="L56" s="42"/>
      <c r="M56" s="42"/>
    </row>
    <row r="57">
      <c r="A57" s="91">
        <v>45464.0</v>
      </c>
      <c r="B57" s="40" t="s">
        <v>25</v>
      </c>
      <c r="C57" s="93">
        <v>7.7</v>
      </c>
      <c r="D57" s="93" t="s">
        <v>366</v>
      </c>
      <c r="E57" s="41"/>
      <c r="G57" s="42"/>
      <c r="H57" s="42"/>
      <c r="I57" s="42"/>
      <c r="J57" s="42"/>
      <c r="K57" s="42"/>
      <c r="L57" s="42"/>
      <c r="M57" s="42"/>
    </row>
    <row r="58">
      <c r="A58" s="44">
        <v>45464.0</v>
      </c>
      <c r="B58" s="40" t="s">
        <v>17</v>
      </c>
      <c r="C58" s="93">
        <v>180.17</v>
      </c>
      <c r="D58" s="93" t="s">
        <v>662</v>
      </c>
      <c r="E58" s="41"/>
      <c r="G58" s="42"/>
      <c r="H58" s="42"/>
      <c r="I58" s="42"/>
      <c r="J58" s="42"/>
      <c r="K58" s="42"/>
      <c r="L58" s="42"/>
      <c r="M58" s="42"/>
    </row>
    <row r="59">
      <c r="A59" s="44">
        <v>45464.0</v>
      </c>
      <c r="B59" s="40" t="s">
        <v>25</v>
      </c>
      <c r="C59" s="93">
        <v>19.5</v>
      </c>
      <c r="D59" s="93" t="s">
        <v>580</v>
      </c>
      <c r="E59" s="41"/>
      <c r="G59" s="42"/>
      <c r="H59" s="42"/>
      <c r="I59" s="42"/>
      <c r="J59" s="42"/>
      <c r="K59" s="42"/>
      <c r="L59" s="42"/>
      <c r="M59" s="42"/>
    </row>
    <row r="60">
      <c r="A60" s="44">
        <v>45464.0</v>
      </c>
      <c r="B60" s="40" t="s">
        <v>25</v>
      </c>
      <c r="C60" s="93">
        <v>28.0</v>
      </c>
      <c r="D60" s="93" t="s">
        <v>663</v>
      </c>
      <c r="E60" s="41"/>
      <c r="G60" s="42"/>
      <c r="H60" s="42"/>
      <c r="I60" s="42"/>
      <c r="J60" s="42"/>
      <c r="K60" s="42"/>
      <c r="L60" s="42"/>
      <c r="M60" s="42"/>
    </row>
    <row r="61">
      <c r="A61" s="48">
        <v>45464.0</v>
      </c>
      <c r="B61" s="40" t="s">
        <v>17</v>
      </c>
      <c r="C61" s="93">
        <v>12.79</v>
      </c>
      <c r="D61" s="93" t="s">
        <v>664</v>
      </c>
      <c r="E61" s="41"/>
      <c r="G61" s="42"/>
      <c r="H61" s="42"/>
      <c r="I61" s="42"/>
      <c r="J61" s="42"/>
      <c r="K61" s="42"/>
      <c r="L61" s="42"/>
      <c r="M61" s="42"/>
    </row>
    <row r="62">
      <c r="A62" s="48">
        <v>45461.0</v>
      </c>
      <c r="B62" s="40" t="s">
        <v>15</v>
      </c>
      <c r="C62" s="93">
        <v>162.56</v>
      </c>
      <c r="D62" s="93" t="s">
        <v>47</v>
      </c>
      <c r="E62" s="41">
        <v>907.0</v>
      </c>
      <c r="F62" s="19" t="s">
        <v>665</v>
      </c>
      <c r="G62" s="42"/>
      <c r="H62" s="42"/>
      <c r="I62" s="42"/>
      <c r="J62" s="42"/>
      <c r="K62" s="42"/>
      <c r="L62" s="42"/>
      <c r="M62" s="42"/>
    </row>
    <row r="63">
      <c r="A63" s="48">
        <v>45459.0</v>
      </c>
      <c r="B63" s="40" t="s">
        <v>17</v>
      </c>
      <c r="C63" s="93">
        <v>19.62</v>
      </c>
      <c r="D63" s="93" t="s">
        <v>365</v>
      </c>
      <c r="E63" s="41"/>
      <c r="G63" s="42"/>
      <c r="H63" s="42"/>
      <c r="I63" s="42"/>
      <c r="J63" s="42"/>
      <c r="K63" s="42"/>
      <c r="L63" s="42"/>
      <c r="M63" s="42"/>
    </row>
    <row r="64">
      <c r="A64" s="48">
        <v>45457.0</v>
      </c>
      <c r="B64" s="40" t="s">
        <v>17</v>
      </c>
      <c r="C64" s="41">
        <v>61.0</v>
      </c>
      <c r="D64" s="41" t="s">
        <v>666</v>
      </c>
      <c r="E64" s="41"/>
      <c r="G64" s="42"/>
      <c r="H64" s="42"/>
      <c r="I64" s="42"/>
      <c r="J64" s="42"/>
      <c r="K64" s="42"/>
      <c r="L64" s="42"/>
      <c r="M64" s="42"/>
    </row>
    <row r="65">
      <c r="A65" s="44">
        <v>45455.0</v>
      </c>
      <c r="B65" s="40" t="s">
        <v>15</v>
      </c>
      <c r="C65" s="93">
        <v>160.0</v>
      </c>
      <c r="D65" s="41" t="s">
        <v>47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45454.0</v>
      </c>
      <c r="B66" s="40" t="s">
        <v>17</v>
      </c>
      <c r="C66" s="41">
        <v>4.25</v>
      </c>
      <c r="D66" s="41" t="s">
        <v>667</v>
      </c>
      <c r="E66" s="41"/>
      <c r="G66" s="42"/>
      <c r="H66" s="42"/>
      <c r="I66" s="42"/>
      <c r="J66" s="42"/>
      <c r="K66" s="42"/>
      <c r="L66" s="42"/>
      <c r="M66" s="42"/>
    </row>
    <row r="67">
      <c r="A67" s="44">
        <v>45454.0</v>
      </c>
      <c r="B67" s="40" t="s">
        <v>19</v>
      </c>
      <c r="C67" s="41">
        <v>24.81</v>
      </c>
      <c r="D67" s="41" t="s">
        <v>668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45453.0</v>
      </c>
      <c r="B68" s="40" t="s">
        <v>15</v>
      </c>
      <c r="C68" s="41">
        <v>31.62</v>
      </c>
      <c r="D68" s="41" t="s">
        <v>669</v>
      </c>
      <c r="E68" s="41"/>
      <c r="G68" s="42"/>
      <c r="H68" s="42"/>
      <c r="I68" s="42"/>
      <c r="J68" s="42"/>
      <c r="K68" s="42"/>
      <c r="L68" s="42"/>
      <c r="M68" s="42"/>
    </row>
    <row r="69">
      <c r="A69" s="44">
        <v>45453.0</v>
      </c>
      <c r="B69" s="40" t="s">
        <v>15</v>
      </c>
      <c r="C69" s="41">
        <v>90.15</v>
      </c>
      <c r="D69" s="41" t="s">
        <v>670</v>
      </c>
      <c r="E69" s="41"/>
      <c r="G69" s="99"/>
      <c r="H69" s="42"/>
      <c r="I69" s="42"/>
      <c r="J69" s="42"/>
      <c r="K69" s="42"/>
      <c r="L69" s="42"/>
      <c r="M69" s="42"/>
    </row>
    <row r="70">
      <c r="A70" s="44">
        <v>45451.0</v>
      </c>
      <c r="B70" s="40" t="s">
        <v>17</v>
      </c>
      <c r="C70" s="41">
        <v>73.09</v>
      </c>
      <c r="D70" s="41" t="s">
        <v>671</v>
      </c>
      <c r="E70" s="41"/>
      <c r="G70" s="42"/>
      <c r="H70" s="42"/>
      <c r="I70" s="42"/>
      <c r="J70" s="42"/>
      <c r="K70" s="42"/>
      <c r="L70" s="42"/>
      <c r="M70" s="42"/>
    </row>
    <row r="71">
      <c r="A71" s="44">
        <v>45451.0</v>
      </c>
      <c r="B71" s="40" t="s">
        <v>25</v>
      </c>
      <c r="C71" s="41">
        <f>8*2.9</f>
        <v>23.2</v>
      </c>
      <c r="D71" s="41" t="s">
        <v>672</v>
      </c>
      <c r="E71" s="41"/>
      <c r="G71" s="42"/>
      <c r="H71" s="42"/>
      <c r="I71" s="42"/>
      <c r="J71" s="42"/>
      <c r="K71" s="42"/>
      <c r="L71" s="42"/>
      <c r="M71" s="42"/>
    </row>
    <row r="72">
      <c r="A72" s="44">
        <v>45451.0</v>
      </c>
      <c r="B72" s="40" t="s">
        <v>25</v>
      </c>
      <c r="C72" s="41">
        <v>91.7</v>
      </c>
      <c r="D72" s="41" t="s">
        <v>673</v>
      </c>
      <c r="E72" s="41"/>
      <c r="G72" s="42"/>
      <c r="H72" s="42"/>
      <c r="I72" s="42"/>
      <c r="J72" s="42"/>
      <c r="K72" s="42"/>
      <c r="L72" s="42"/>
      <c r="M72" s="42"/>
    </row>
    <row r="73">
      <c r="A73" s="44">
        <v>45451.0</v>
      </c>
      <c r="B73" s="40" t="s">
        <v>17</v>
      </c>
      <c r="C73" s="41">
        <v>24.0</v>
      </c>
      <c r="D73" s="41" t="s">
        <v>674</v>
      </c>
      <c r="E73" s="41"/>
      <c r="G73" s="42"/>
      <c r="H73" s="42"/>
      <c r="I73" s="42"/>
      <c r="J73" s="42"/>
      <c r="K73" s="42"/>
      <c r="L73" s="42"/>
      <c r="M73" s="42"/>
    </row>
    <row r="74">
      <c r="A74" s="44">
        <v>45451.0</v>
      </c>
      <c r="B74" s="40" t="s">
        <v>25</v>
      </c>
      <c r="C74" s="41">
        <v>435.0</v>
      </c>
      <c r="D74" s="41" t="s">
        <v>675</v>
      </c>
      <c r="E74" s="41"/>
      <c r="G74" s="42"/>
      <c r="H74" s="42"/>
      <c r="I74" s="42"/>
      <c r="J74" s="42"/>
      <c r="K74" s="42"/>
      <c r="L74" s="42"/>
      <c r="M74" s="42"/>
    </row>
    <row r="75">
      <c r="A75" s="44">
        <v>45451.0</v>
      </c>
      <c r="B75" s="40" t="s">
        <v>19</v>
      </c>
      <c r="C75" s="41">
        <v>6.18</v>
      </c>
      <c r="D75" s="41" t="s">
        <v>676</v>
      </c>
      <c r="E75" s="41"/>
      <c r="G75" s="42"/>
      <c r="H75" s="42"/>
      <c r="I75" s="42"/>
      <c r="J75" s="42"/>
      <c r="K75" s="42"/>
      <c r="L75" s="42"/>
      <c r="M75" s="42"/>
    </row>
    <row r="76">
      <c r="A76" s="44">
        <v>45448.0</v>
      </c>
      <c r="B76" s="40" t="s">
        <v>15</v>
      </c>
      <c r="C76" s="41">
        <v>5.49</v>
      </c>
      <c r="D76" s="41" t="s">
        <v>677</v>
      </c>
      <c r="E76" s="41"/>
      <c r="G76" s="42"/>
      <c r="H76" s="42"/>
      <c r="I76" s="42"/>
      <c r="J76" s="42"/>
      <c r="K76" s="42"/>
      <c r="L76" s="42"/>
      <c r="M76" s="42"/>
    </row>
    <row r="77">
      <c r="A77" s="44">
        <v>45447.0</v>
      </c>
      <c r="B77" s="40" t="s">
        <v>22</v>
      </c>
      <c r="C77" s="41">
        <v>60.0</v>
      </c>
      <c r="D77" s="41" t="s">
        <v>678</v>
      </c>
      <c r="E77" s="41"/>
      <c r="G77" s="42"/>
      <c r="H77" s="42"/>
      <c r="I77" s="42"/>
      <c r="J77" s="42"/>
      <c r="K77" s="42"/>
      <c r="L77" s="42"/>
      <c r="M77" s="42"/>
    </row>
    <row r="78">
      <c r="A78" s="44">
        <v>45446.0</v>
      </c>
      <c r="B78" s="40" t="s">
        <v>15</v>
      </c>
      <c r="C78" s="41">
        <v>156.94</v>
      </c>
      <c r="D78" s="41" t="s">
        <v>679</v>
      </c>
      <c r="E78" s="41"/>
      <c r="G78" s="42"/>
      <c r="H78" s="42"/>
      <c r="I78" s="42"/>
      <c r="J78" s="42"/>
      <c r="K78" s="42"/>
      <c r="L78" s="42"/>
      <c r="M78" s="42"/>
    </row>
    <row r="79">
      <c r="A79" s="44">
        <v>45445.0</v>
      </c>
      <c r="B79" s="40" t="s">
        <v>17</v>
      </c>
      <c r="C79" s="41">
        <v>14.0</v>
      </c>
      <c r="D79" s="41" t="s">
        <v>674</v>
      </c>
      <c r="E79" s="41"/>
      <c r="G79" s="42"/>
      <c r="H79" s="42"/>
      <c r="I79" s="42"/>
      <c r="J79" s="42"/>
      <c r="K79" s="42"/>
      <c r="L79" s="42"/>
      <c r="M79" s="42"/>
    </row>
    <row r="80">
      <c r="A80" s="44">
        <v>45445.0</v>
      </c>
      <c r="B80" s="40" t="s">
        <v>25</v>
      </c>
      <c r="C80" s="41">
        <v>50.0</v>
      </c>
      <c r="D80" s="41" t="s">
        <v>680</v>
      </c>
      <c r="E80" s="41"/>
      <c r="G80" s="42"/>
      <c r="H80" s="42"/>
      <c r="I80" s="42"/>
      <c r="J80" s="42"/>
      <c r="K80" s="42"/>
      <c r="L80" s="42"/>
      <c r="M80" s="42"/>
    </row>
    <row r="81">
      <c r="A81" s="44">
        <v>45444.0</v>
      </c>
      <c r="B81" s="40" t="s">
        <v>17</v>
      </c>
      <c r="C81" s="41">
        <v>16.41</v>
      </c>
      <c r="D81" s="41" t="s">
        <v>681</v>
      </c>
      <c r="E81" s="41"/>
      <c r="G81" s="42"/>
      <c r="H81" s="42"/>
      <c r="I81" s="42"/>
      <c r="J81" s="42"/>
      <c r="K81" s="42"/>
      <c r="L81" s="42"/>
      <c r="M81" s="42"/>
    </row>
    <row r="82">
      <c r="A82" s="44">
        <v>45444.0</v>
      </c>
      <c r="B82" s="40" t="s">
        <v>17</v>
      </c>
      <c r="C82" s="41">
        <v>104.52</v>
      </c>
      <c r="D82" s="41" t="s">
        <v>682</v>
      </c>
      <c r="E82" s="41"/>
      <c r="G82" s="42"/>
      <c r="H82" s="42"/>
      <c r="I82" s="42"/>
      <c r="J82" s="42"/>
      <c r="K82" s="42"/>
      <c r="L82" s="42"/>
      <c r="M82" s="42"/>
    </row>
    <row r="83">
      <c r="A83" s="44">
        <v>45459.0</v>
      </c>
      <c r="B83" s="40" t="s">
        <v>19</v>
      </c>
      <c r="C83" s="41">
        <v>53.0</v>
      </c>
      <c r="D83" s="41" t="s">
        <v>683</v>
      </c>
      <c r="E83" s="41"/>
      <c r="G83" s="42"/>
      <c r="H83" s="42"/>
      <c r="I83" s="42"/>
      <c r="J83" s="42"/>
      <c r="K83" s="42"/>
      <c r="L83" s="42"/>
      <c r="M83" s="42"/>
    </row>
    <row r="84">
      <c r="A84" s="44"/>
      <c r="B84" s="40"/>
      <c r="C84" s="41"/>
      <c r="D84" s="41"/>
      <c r="E84" s="41"/>
      <c r="G84" s="42"/>
      <c r="H84" s="42"/>
      <c r="I84" s="42"/>
      <c r="J84" s="42"/>
      <c r="K84" s="42"/>
      <c r="L84" s="42"/>
      <c r="M84" s="42"/>
    </row>
    <row r="85">
      <c r="A85" s="44"/>
      <c r="B85" s="40"/>
      <c r="C85" s="41"/>
      <c r="D85" s="41"/>
      <c r="E85" s="41"/>
      <c r="G85" s="42"/>
      <c r="H85" s="42"/>
      <c r="I85" s="42"/>
      <c r="J85" s="42"/>
      <c r="K85" s="42"/>
      <c r="L85" s="42"/>
      <c r="M85" s="42"/>
    </row>
    <row r="86">
      <c r="A86" s="44"/>
      <c r="B86" s="40"/>
      <c r="C86" s="41"/>
      <c r="D86" s="41"/>
      <c r="E86" s="41"/>
      <c r="G86" s="42"/>
      <c r="H86" s="42"/>
      <c r="I86" s="42"/>
      <c r="J86" s="42"/>
      <c r="K86" s="42"/>
      <c r="L86" s="42"/>
      <c r="M86" s="42"/>
    </row>
    <row r="87">
      <c r="A87" s="44"/>
      <c r="B87" s="40"/>
      <c r="C87" s="41"/>
      <c r="D87" s="41"/>
      <c r="E87" s="41"/>
      <c r="G87" s="42"/>
      <c r="H87" s="42"/>
      <c r="I87" s="42"/>
      <c r="J87" s="42"/>
      <c r="K87" s="42"/>
      <c r="L87" s="42"/>
      <c r="M87" s="42"/>
    </row>
    <row r="88">
      <c r="A88" s="44"/>
      <c r="B88" s="40"/>
      <c r="C88" s="41"/>
      <c r="D88" s="41"/>
      <c r="E88" s="41"/>
      <c r="G88" s="42"/>
      <c r="H88" s="42"/>
      <c r="I88" s="42"/>
      <c r="J88" s="42"/>
      <c r="K88" s="42"/>
      <c r="L88" s="42"/>
      <c r="M88" s="42"/>
    </row>
    <row r="89">
      <c r="A89" s="44"/>
      <c r="B89" s="40"/>
      <c r="C89" s="41"/>
      <c r="D89" s="41"/>
      <c r="E89" s="41"/>
      <c r="G89" s="42"/>
      <c r="H89" s="42"/>
      <c r="I89" s="42"/>
      <c r="J89" s="42"/>
      <c r="K89" s="42"/>
      <c r="L89" s="42"/>
      <c r="M89" s="42"/>
    </row>
    <row r="90">
      <c r="A90" s="44"/>
      <c r="B90" s="40"/>
      <c r="C90" s="41"/>
      <c r="D90" s="41"/>
      <c r="E90" s="41"/>
      <c r="G90" s="42"/>
      <c r="H90" s="42"/>
      <c r="I90" s="42"/>
      <c r="J90" s="42"/>
      <c r="K90" s="42"/>
      <c r="L90" s="42"/>
      <c r="M90" s="42"/>
    </row>
    <row r="91">
      <c r="A91" s="44"/>
      <c r="B91" s="40"/>
      <c r="C91" s="41"/>
      <c r="D91" s="41"/>
      <c r="E91" s="41"/>
      <c r="G91" s="42"/>
      <c r="H91" s="42"/>
      <c r="I91" s="42"/>
      <c r="J91" s="42"/>
      <c r="K91" s="42"/>
      <c r="L91" s="42"/>
      <c r="M91" s="42"/>
    </row>
    <row r="92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</row>
    <row r="93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</sheetData>
  <autoFilter ref="$A$33:$D$93"/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101">
      <formula1>'Hidden list and Figures'!$A$3:$A$15</formula1>
    </dataValidation>
    <dataValidation type="custom" allowBlank="1" showDropDown="1" showInputMessage="1" prompt="Select a date" sqref="A34:A101">
      <formula1>OR(NOT(ISERROR(DATEVALUE(A34))), AND(ISNUMBER(A34), LEFT(CELL("format", A34))="D"))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sumif($B$20:$C$101,A6,$C$20:$C$101)</f>
        <v>3366.076667</v>
      </c>
      <c r="D6" s="17">
        <f t="shared" ref="D6:D16" si="2">B6-C6</f>
        <v>-702.3966667</v>
      </c>
      <c r="E6" s="18">
        <f t="shared" ref="E6:E17" si="3">D6/B6</f>
        <v>-0.2636940874</v>
      </c>
      <c r="G6" s="19" t="s">
        <v>11</v>
      </c>
      <c r="H6" s="96">
        <f>3080*2</f>
        <v>6160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f>3370*2</f>
        <v>6740</v>
      </c>
    </row>
    <row r="8">
      <c r="A8" s="21" t="s">
        <v>14</v>
      </c>
      <c r="B8" s="22">
        <v>250.0</v>
      </c>
      <c r="C8" s="22">
        <f t="shared" si="1"/>
        <v>0</v>
      </c>
      <c r="D8" s="23">
        <f t="shared" si="2"/>
        <v>250</v>
      </c>
      <c r="E8" s="18">
        <f t="shared" si="3"/>
        <v>1</v>
      </c>
      <c r="G8" s="64" t="s">
        <v>27</v>
      </c>
      <c r="H8" s="92">
        <f>SUM(H6:H7)</f>
        <v>12900</v>
      </c>
    </row>
    <row r="9">
      <c r="A9" s="24" t="s">
        <v>15</v>
      </c>
      <c r="B9" s="22">
        <v>400.0</v>
      </c>
      <c r="C9" s="22">
        <f t="shared" si="1"/>
        <v>985.7633333</v>
      </c>
      <c r="D9" s="23">
        <f t="shared" si="2"/>
        <v>-585.7633333</v>
      </c>
      <c r="E9" s="18">
        <f t="shared" si="3"/>
        <v>-1.464408333</v>
      </c>
    </row>
    <row r="10">
      <c r="A10" s="24" t="s">
        <v>17</v>
      </c>
      <c r="B10" s="22">
        <v>400.0</v>
      </c>
      <c r="C10" s="22">
        <f t="shared" si="1"/>
        <v>551.7533333</v>
      </c>
      <c r="D10" s="23">
        <f t="shared" si="2"/>
        <v>-151.7533333</v>
      </c>
      <c r="E10" s="18">
        <f t="shared" si="3"/>
        <v>-0.3793833333</v>
      </c>
      <c r="G10" s="13" t="s">
        <v>16</v>
      </c>
      <c r="H10" s="14"/>
    </row>
    <row r="11">
      <c r="A11" s="22" t="s">
        <v>19</v>
      </c>
      <c r="B11" s="22">
        <v>200.0</v>
      </c>
      <c r="C11" s="22">
        <f t="shared" si="1"/>
        <v>513.22</v>
      </c>
      <c r="D11" s="23">
        <f t="shared" si="2"/>
        <v>-313.22</v>
      </c>
      <c r="E11" s="18">
        <f t="shared" si="3"/>
        <v>-1.5661</v>
      </c>
      <c r="G11" s="19" t="s">
        <v>18</v>
      </c>
      <c r="H11" s="14">
        <f>sum(C17)</f>
        <v>6564.97</v>
      </c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H12" s="14"/>
    </row>
    <row r="13">
      <c r="A13" s="25" t="s">
        <v>22</v>
      </c>
      <c r="B13" s="22">
        <v>200.0</v>
      </c>
      <c r="C13" s="22">
        <f t="shared" ref="C13:C16" si="4">sumif($B$20:$C$101,A13,$C$20:$C$101)</f>
        <v>150.49</v>
      </c>
      <c r="D13" s="23">
        <f t="shared" si="2"/>
        <v>49.51</v>
      </c>
      <c r="E13" s="18">
        <f t="shared" si="3"/>
        <v>0.24755</v>
      </c>
      <c r="G13" s="13" t="s">
        <v>21</v>
      </c>
      <c r="H13" s="14"/>
    </row>
    <row r="14">
      <c r="A14" s="26" t="s">
        <v>24</v>
      </c>
      <c r="B14" s="27">
        <v>0.0</v>
      </c>
      <c r="C14" s="22">
        <f t="shared" si="4"/>
        <v>176.39</v>
      </c>
      <c r="D14" s="23">
        <f t="shared" si="2"/>
        <v>-176.39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321.2766667</v>
      </c>
      <c r="D15" s="28">
        <f t="shared" si="2"/>
        <v>-21.27666667</v>
      </c>
      <c r="E15" s="18">
        <f t="shared" si="3"/>
        <v>-0.07092222222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22">
        <f t="shared" si="4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SUMIF($B$20:$C$123,"Travel",$C$20:$C$123)</f>
        <v>609.96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5">SUM(B6:B16)</f>
        <v>4913.68</v>
      </c>
      <c r="C17" s="31">
        <f t="shared" si="5"/>
        <v>6564.97</v>
      </c>
      <c r="D17" s="31">
        <f>SUM(D6:D15)</f>
        <v>-1651.29</v>
      </c>
      <c r="E17" s="18">
        <f t="shared" si="3"/>
        <v>-0.3360597353</v>
      </c>
      <c r="F17" s="36"/>
      <c r="G17" s="13" t="s">
        <v>28</v>
      </c>
      <c r="H17" s="33">
        <f>500-SUMIF($B$20:$C$123,"Travel",$C$20:$C$123)+'June 2024'!H17</f>
        <v>749.49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2900.0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40.0</v>
      </c>
      <c r="D21" s="95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85.61</v>
      </c>
      <c r="D22" s="95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42.62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19.49</v>
      </c>
      <c r="D24" s="95" t="s">
        <v>22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77/12</f>
        <v>6.416666667</v>
      </c>
      <c r="D25" s="41" t="s">
        <v>529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144.0</v>
      </c>
      <c r="D26" s="41" t="s">
        <v>23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2.87</v>
      </c>
      <c r="D27" s="41" t="s">
        <v>39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2.99</v>
      </c>
      <c r="D28" s="41" t="s">
        <v>40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5.83</v>
      </c>
      <c r="D29" s="41" t="s">
        <v>41</v>
      </c>
      <c r="E29" s="41"/>
      <c r="G29" s="42"/>
      <c r="H29" s="42"/>
      <c r="I29" s="42"/>
      <c r="J29" s="42"/>
      <c r="K29" s="42"/>
      <c r="L29" s="42"/>
      <c r="M29" s="42"/>
    </row>
    <row r="30">
      <c r="A30" s="40" t="s">
        <v>32</v>
      </c>
      <c r="B30" s="40" t="s">
        <v>10</v>
      </c>
      <c r="C30" s="41">
        <v>6.25</v>
      </c>
      <c r="D30" s="41" t="s">
        <v>488</v>
      </c>
      <c r="E30" s="41"/>
      <c r="G30" s="42"/>
      <c r="H30" s="42"/>
      <c r="I30" s="42"/>
      <c r="J30" s="42"/>
      <c r="K30" s="42"/>
      <c r="L30" s="42"/>
      <c r="M30" s="42"/>
    </row>
    <row r="31">
      <c r="A31" s="40" t="s">
        <v>32</v>
      </c>
      <c r="B31" s="40" t="s">
        <v>10</v>
      </c>
      <c r="C31" s="41">
        <v>110.0</v>
      </c>
      <c r="D31" s="41" t="s">
        <v>42</v>
      </c>
      <c r="E31" s="41"/>
      <c r="G31" s="42"/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G32" s="42"/>
      <c r="H32" s="42"/>
      <c r="I32" s="42"/>
      <c r="J32" s="42"/>
      <c r="K32" s="42"/>
      <c r="L32" s="42"/>
      <c r="M32" s="42"/>
    </row>
    <row r="33">
      <c r="A33" s="43"/>
      <c r="B33" s="40"/>
      <c r="C33" s="41"/>
      <c r="D33" s="41"/>
      <c r="E33" s="41"/>
      <c r="G33" s="42"/>
      <c r="H33" s="42"/>
      <c r="I33" s="42"/>
      <c r="J33" s="42"/>
      <c r="K33" s="42"/>
      <c r="L33" s="42"/>
      <c r="M33" s="42"/>
    </row>
    <row r="34">
      <c r="A34" s="91">
        <v>45474.0</v>
      </c>
      <c r="B34" s="40" t="s">
        <v>15</v>
      </c>
      <c r="C34" s="41">
        <v>76.49</v>
      </c>
      <c r="D34" s="41" t="s">
        <v>47</v>
      </c>
      <c r="G34" s="42"/>
      <c r="H34" s="42"/>
      <c r="I34" s="42"/>
      <c r="J34" s="42"/>
      <c r="K34" s="42"/>
      <c r="L34" s="42"/>
      <c r="M34" s="42"/>
    </row>
    <row r="35">
      <c r="A35" s="91">
        <v>45475.0</v>
      </c>
      <c r="B35" s="40" t="s">
        <v>75</v>
      </c>
      <c r="C35" s="41">
        <v>7.84</v>
      </c>
      <c r="D35" s="41" t="s">
        <v>609</v>
      </c>
      <c r="G35" s="42"/>
      <c r="H35" s="42"/>
      <c r="I35" s="42"/>
      <c r="J35" s="42"/>
      <c r="K35" s="42"/>
      <c r="L35" s="42"/>
      <c r="M35" s="42"/>
    </row>
    <row r="36">
      <c r="A36" s="91">
        <v>45480.0</v>
      </c>
      <c r="B36" s="40" t="s">
        <v>24</v>
      </c>
      <c r="C36" s="98">
        <v>56.39</v>
      </c>
      <c r="D36" s="98" t="s">
        <v>684</v>
      </c>
      <c r="G36" s="42"/>
      <c r="H36" s="42"/>
      <c r="I36" s="42"/>
      <c r="J36" s="42"/>
      <c r="K36" s="42"/>
      <c r="L36" s="42"/>
      <c r="M36" s="42"/>
    </row>
    <row r="37">
      <c r="A37" s="44">
        <v>45479.0</v>
      </c>
      <c r="B37" s="40" t="s">
        <v>19</v>
      </c>
      <c r="C37" s="93">
        <v>19.26</v>
      </c>
      <c r="D37" s="93" t="s">
        <v>685</v>
      </c>
      <c r="G37" s="42"/>
      <c r="H37" s="42"/>
      <c r="I37" s="42"/>
      <c r="J37" s="42"/>
      <c r="K37" s="42"/>
      <c r="L37" s="42"/>
      <c r="M37" s="42"/>
    </row>
    <row r="38">
      <c r="A38" s="44">
        <v>45474.0</v>
      </c>
      <c r="B38" s="40" t="s">
        <v>17</v>
      </c>
      <c r="C38" s="93">
        <v>1.6</v>
      </c>
      <c r="D38" s="93" t="s">
        <v>686</v>
      </c>
      <c r="G38" s="42"/>
      <c r="H38" s="42"/>
      <c r="I38" s="42"/>
      <c r="J38" s="42"/>
      <c r="K38" s="42"/>
      <c r="L38" s="42"/>
      <c r="M38" s="42"/>
    </row>
    <row r="39">
      <c r="A39" s="44">
        <v>45479.0</v>
      </c>
      <c r="B39" s="40" t="s">
        <v>17</v>
      </c>
      <c r="C39" s="93">
        <v>23.61</v>
      </c>
      <c r="D39" s="93" t="s">
        <v>378</v>
      </c>
      <c r="G39" s="42"/>
      <c r="H39" s="42"/>
      <c r="I39" s="42"/>
      <c r="J39" s="42"/>
      <c r="K39" s="42"/>
      <c r="L39" s="42"/>
      <c r="M39" s="42"/>
    </row>
    <row r="40">
      <c r="A40" s="44">
        <v>45477.0</v>
      </c>
      <c r="B40" s="40" t="s">
        <v>17</v>
      </c>
      <c r="C40" s="93">
        <v>24.52</v>
      </c>
      <c r="D40" s="93" t="s">
        <v>365</v>
      </c>
      <c r="G40" s="42"/>
      <c r="H40" s="42"/>
      <c r="I40" s="42"/>
      <c r="J40" s="42"/>
      <c r="K40" s="42"/>
      <c r="L40" s="42"/>
      <c r="M40" s="42"/>
    </row>
    <row r="41">
      <c r="A41" s="44">
        <v>45479.0</v>
      </c>
      <c r="B41" s="40" t="s">
        <v>19</v>
      </c>
      <c r="C41" s="93">
        <v>6.0</v>
      </c>
      <c r="D41" s="93" t="s">
        <v>687</v>
      </c>
      <c r="G41" s="42"/>
      <c r="H41" s="42"/>
      <c r="I41" s="42"/>
      <c r="J41" s="42"/>
      <c r="K41" s="42"/>
      <c r="L41" s="42"/>
      <c r="M41" s="42"/>
    </row>
    <row r="42">
      <c r="A42" s="44">
        <v>45481.0</v>
      </c>
      <c r="B42" s="40" t="s">
        <v>22</v>
      </c>
      <c r="C42" s="93">
        <v>43.0</v>
      </c>
      <c r="D42" s="93" t="s">
        <v>688</v>
      </c>
      <c r="G42" s="42"/>
      <c r="H42" s="42"/>
      <c r="I42" s="42"/>
      <c r="J42" s="42"/>
      <c r="K42" s="42"/>
      <c r="L42" s="42"/>
      <c r="M42" s="42"/>
    </row>
    <row r="43">
      <c r="A43" s="44">
        <v>45486.0</v>
      </c>
      <c r="B43" s="40" t="s">
        <v>25</v>
      </c>
      <c r="C43" s="93">
        <v>10.5</v>
      </c>
      <c r="D43" s="93" t="s">
        <v>689</v>
      </c>
      <c r="G43" s="42"/>
      <c r="H43" s="42"/>
      <c r="I43" s="42"/>
      <c r="J43" s="42"/>
      <c r="K43" s="42"/>
      <c r="L43" s="42"/>
      <c r="M43" s="42"/>
    </row>
    <row r="44">
      <c r="A44" s="44">
        <v>45487.0</v>
      </c>
      <c r="B44" s="40" t="s">
        <v>17</v>
      </c>
      <c r="C44" s="93">
        <v>21.0</v>
      </c>
      <c r="D44" s="93" t="s">
        <v>674</v>
      </c>
      <c r="G44" s="42"/>
      <c r="H44" s="42"/>
      <c r="I44" s="42"/>
      <c r="J44" s="42"/>
      <c r="K44" s="42"/>
      <c r="L44" s="42"/>
      <c r="M44" s="42"/>
    </row>
    <row r="45">
      <c r="A45" s="44">
        <v>45487.0</v>
      </c>
      <c r="B45" s="40" t="s">
        <v>25</v>
      </c>
      <c r="C45" s="93">
        <f>2.9*6</f>
        <v>17.4</v>
      </c>
      <c r="D45" s="93" t="s">
        <v>610</v>
      </c>
      <c r="G45" s="42"/>
      <c r="H45" s="42"/>
      <c r="I45" s="42"/>
      <c r="J45" s="42"/>
      <c r="K45" s="42"/>
      <c r="L45" s="42"/>
      <c r="M45" s="42"/>
    </row>
    <row r="46">
      <c r="A46" s="44">
        <v>45491.0</v>
      </c>
      <c r="B46" s="40" t="s">
        <v>25</v>
      </c>
      <c r="C46" s="93">
        <v>60.0</v>
      </c>
      <c r="D46" s="93" t="s">
        <v>690</v>
      </c>
      <c r="G46" s="42"/>
      <c r="H46" s="42"/>
      <c r="I46" s="42"/>
      <c r="J46" s="42"/>
      <c r="K46" s="42"/>
      <c r="L46" s="42"/>
      <c r="M46" s="42"/>
    </row>
    <row r="47">
      <c r="A47" s="44">
        <v>45491.0</v>
      </c>
      <c r="B47" s="40" t="s">
        <v>19</v>
      </c>
      <c r="C47" s="93">
        <v>15.47</v>
      </c>
      <c r="D47" s="93" t="s">
        <v>691</v>
      </c>
      <c r="G47" s="42"/>
      <c r="H47" s="42"/>
      <c r="I47" s="42"/>
      <c r="J47" s="42"/>
      <c r="K47" s="42"/>
      <c r="L47" s="42"/>
      <c r="M47" s="42"/>
    </row>
    <row r="48">
      <c r="A48" s="44">
        <v>45491.0</v>
      </c>
      <c r="B48" s="40" t="s">
        <v>17</v>
      </c>
      <c r="C48" s="93">
        <f>122</f>
        <v>122</v>
      </c>
      <c r="D48" s="93" t="s">
        <v>692</v>
      </c>
      <c r="G48" s="42"/>
      <c r="H48" s="42"/>
      <c r="I48" s="42"/>
      <c r="J48" s="42"/>
      <c r="K48" s="42"/>
      <c r="L48" s="42"/>
      <c r="M48" s="42"/>
    </row>
    <row r="49">
      <c r="A49" s="44">
        <v>45491.0</v>
      </c>
      <c r="B49" s="40" t="s">
        <v>17</v>
      </c>
      <c r="C49" s="93">
        <v>12.5</v>
      </c>
      <c r="D49" s="93" t="s">
        <v>674</v>
      </c>
      <c r="E49" s="90"/>
      <c r="G49" s="42"/>
      <c r="H49" s="42"/>
      <c r="I49" s="42"/>
      <c r="J49" s="42"/>
      <c r="K49" s="42"/>
      <c r="L49" s="42"/>
      <c r="M49" s="42"/>
    </row>
    <row r="50">
      <c r="A50" s="44">
        <v>45492.0</v>
      </c>
      <c r="B50" s="40" t="s">
        <v>25</v>
      </c>
      <c r="C50" s="93">
        <f>7.7*2/3</f>
        <v>5.133333333</v>
      </c>
      <c r="D50" s="93" t="s">
        <v>142</v>
      </c>
      <c r="E50" s="90"/>
      <c r="G50" s="42"/>
      <c r="H50" s="42"/>
      <c r="I50" s="42"/>
      <c r="J50" s="42"/>
      <c r="K50" s="42"/>
      <c r="L50" s="42"/>
      <c r="M50" s="42"/>
    </row>
    <row r="51">
      <c r="A51" s="44">
        <v>45493.0</v>
      </c>
      <c r="B51" s="40" t="s">
        <v>22</v>
      </c>
      <c r="C51" s="93">
        <v>61.32</v>
      </c>
      <c r="D51" s="93" t="s">
        <v>154</v>
      </c>
      <c r="E51" s="90"/>
      <c r="G51" s="42"/>
      <c r="H51" s="42"/>
      <c r="I51" s="42"/>
      <c r="J51" s="42"/>
      <c r="K51" s="42"/>
      <c r="L51" s="42"/>
      <c r="M51" s="42"/>
    </row>
    <row r="52">
      <c r="A52" s="44">
        <v>45495.0</v>
      </c>
      <c r="B52" s="40" t="s">
        <v>17</v>
      </c>
      <c r="C52" s="93">
        <v>8.53</v>
      </c>
      <c r="D52" s="93" t="s">
        <v>693</v>
      </c>
      <c r="E52" s="90"/>
      <c r="G52" s="42"/>
      <c r="H52" s="42"/>
      <c r="I52" s="42"/>
      <c r="J52" s="42"/>
      <c r="K52" s="42"/>
      <c r="L52" s="42"/>
      <c r="M52" s="42"/>
    </row>
    <row r="53">
      <c r="A53" s="44">
        <v>45498.0</v>
      </c>
      <c r="B53" s="40" t="s">
        <v>17</v>
      </c>
      <c r="C53" s="93">
        <v>16.4</v>
      </c>
      <c r="D53" s="93" t="s">
        <v>558</v>
      </c>
      <c r="E53" s="41"/>
      <c r="G53" s="42"/>
      <c r="H53" s="42"/>
      <c r="I53" s="42"/>
      <c r="J53" s="42"/>
      <c r="K53" s="42"/>
      <c r="L53" s="42"/>
      <c r="M53" s="42"/>
    </row>
    <row r="54">
      <c r="A54" s="44">
        <v>45500.0</v>
      </c>
      <c r="B54" s="40" t="s">
        <v>17</v>
      </c>
      <c r="C54" s="93">
        <v>11.0</v>
      </c>
      <c r="D54" s="93" t="s">
        <v>694</v>
      </c>
      <c r="E54" s="41"/>
      <c r="G54" s="42"/>
      <c r="H54" s="42"/>
      <c r="I54" s="42"/>
      <c r="J54" s="42"/>
      <c r="K54" s="42"/>
      <c r="L54" s="42"/>
      <c r="M54" s="42"/>
    </row>
    <row r="55">
      <c r="A55" s="44">
        <v>45500.0</v>
      </c>
      <c r="B55" s="40" t="s">
        <v>25</v>
      </c>
      <c r="C55" s="93">
        <f>64.4/2</f>
        <v>32.2</v>
      </c>
      <c r="D55" s="93" t="s">
        <v>580</v>
      </c>
      <c r="E55" s="41"/>
      <c r="G55" s="42"/>
      <c r="H55" s="42"/>
      <c r="I55" s="42"/>
      <c r="J55" s="42"/>
      <c r="K55" s="42"/>
      <c r="L55" s="42"/>
      <c r="M55" s="42"/>
    </row>
    <row r="56">
      <c r="A56" s="44">
        <v>45504.0</v>
      </c>
      <c r="B56" s="40" t="s">
        <v>79</v>
      </c>
      <c r="C56" s="93">
        <v>10.0</v>
      </c>
      <c r="D56" s="93" t="s">
        <v>695</v>
      </c>
      <c r="E56" s="41"/>
      <c r="G56" s="42"/>
      <c r="H56" s="42"/>
      <c r="I56" s="42"/>
      <c r="J56" s="42"/>
      <c r="K56" s="42"/>
      <c r="L56" s="42"/>
      <c r="M56" s="42"/>
    </row>
    <row r="57">
      <c r="A57" s="91">
        <v>45504.0</v>
      </c>
      <c r="B57" s="40" t="s">
        <v>19</v>
      </c>
      <c r="C57" s="93">
        <f>362-237</f>
        <v>125</v>
      </c>
      <c r="D57" s="93" t="s">
        <v>459</v>
      </c>
      <c r="E57" s="41"/>
      <c r="G57" s="42"/>
      <c r="H57" s="42"/>
      <c r="I57" s="42"/>
      <c r="J57" s="42"/>
      <c r="K57" s="42"/>
      <c r="L57" s="42"/>
      <c r="M57" s="42"/>
    </row>
    <row r="58">
      <c r="A58" s="44">
        <v>45486.0</v>
      </c>
      <c r="B58" s="40" t="s">
        <v>15</v>
      </c>
      <c r="C58" s="93">
        <v>14.6</v>
      </c>
      <c r="D58" s="93" t="s">
        <v>677</v>
      </c>
      <c r="E58" s="41"/>
      <c r="G58" s="42"/>
      <c r="H58" s="42"/>
      <c r="I58" s="42"/>
      <c r="J58" s="42"/>
      <c r="K58" s="42"/>
      <c r="L58" s="42"/>
      <c r="M58" s="42"/>
    </row>
    <row r="59">
      <c r="A59" s="44">
        <v>45485.0</v>
      </c>
      <c r="B59" s="40" t="s">
        <v>17</v>
      </c>
      <c r="C59" s="93">
        <v>2.12</v>
      </c>
      <c r="D59" s="93" t="s">
        <v>696</v>
      </c>
      <c r="E59" s="41"/>
      <c r="G59" s="42"/>
      <c r="H59" s="42"/>
      <c r="I59" s="42"/>
      <c r="J59" s="42"/>
      <c r="K59" s="42"/>
      <c r="L59" s="42"/>
      <c r="M59" s="42"/>
    </row>
    <row r="60">
      <c r="A60" s="44">
        <v>45491.0</v>
      </c>
      <c r="B60" s="40" t="s">
        <v>17</v>
      </c>
      <c r="C60" s="93">
        <v>6.67</v>
      </c>
      <c r="D60" s="93" t="s">
        <v>609</v>
      </c>
      <c r="E60" s="41"/>
      <c r="G60" s="42"/>
      <c r="H60" s="42"/>
      <c r="I60" s="42"/>
      <c r="J60" s="42"/>
      <c r="K60" s="42"/>
      <c r="L60" s="42"/>
      <c r="M60" s="42"/>
    </row>
    <row r="61">
      <c r="A61" s="48">
        <v>45489.0</v>
      </c>
      <c r="B61" s="40" t="s">
        <v>17</v>
      </c>
      <c r="C61" s="93">
        <v>2.14</v>
      </c>
      <c r="D61" s="93" t="s">
        <v>558</v>
      </c>
      <c r="E61" s="41"/>
      <c r="G61" s="42"/>
      <c r="H61" s="42"/>
      <c r="I61" s="42"/>
      <c r="J61" s="42"/>
      <c r="K61" s="42"/>
      <c r="L61" s="42"/>
      <c r="M61" s="42"/>
    </row>
    <row r="62">
      <c r="A62" s="48">
        <v>45488.0</v>
      </c>
      <c r="B62" s="40" t="s">
        <v>25</v>
      </c>
      <c r="C62" s="93">
        <f>2.9*(1+3+2+1)</f>
        <v>20.3</v>
      </c>
      <c r="D62" s="93" t="s">
        <v>610</v>
      </c>
      <c r="E62" s="41"/>
      <c r="G62" s="42"/>
      <c r="H62" s="42"/>
      <c r="I62" s="42"/>
      <c r="J62" s="42"/>
      <c r="K62" s="42"/>
      <c r="L62" s="42"/>
      <c r="M62" s="42"/>
    </row>
    <row r="63">
      <c r="A63" s="48">
        <v>45482.0</v>
      </c>
      <c r="B63" s="40" t="s">
        <v>15</v>
      </c>
      <c r="C63" s="93">
        <v>26.81</v>
      </c>
      <c r="D63" s="93" t="s">
        <v>677</v>
      </c>
      <c r="E63" s="41"/>
      <c r="G63" s="42"/>
      <c r="H63" s="42"/>
      <c r="I63" s="42"/>
      <c r="J63" s="42"/>
      <c r="K63" s="42"/>
      <c r="L63" s="42"/>
      <c r="M63" s="42"/>
    </row>
    <row r="64">
      <c r="A64" s="48">
        <v>45481.0</v>
      </c>
      <c r="B64" s="40" t="s">
        <v>17</v>
      </c>
      <c r="C64" s="41">
        <v>1.6</v>
      </c>
      <c r="D64" s="41" t="s">
        <v>47</v>
      </c>
      <c r="E64" s="41"/>
      <c r="G64" s="42"/>
      <c r="H64" s="42"/>
      <c r="I64" s="42"/>
      <c r="J64" s="42"/>
      <c r="K64" s="42"/>
      <c r="L64" s="42"/>
      <c r="M64" s="42"/>
    </row>
    <row r="65">
      <c r="A65" s="44">
        <v>45504.0</v>
      </c>
      <c r="B65" s="40" t="s">
        <v>15</v>
      </c>
      <c r="C65" s="93">
        <v>20.5</v>
      </c>
      <c r="D65" s="41" t="s">
        <v>697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45504.0</v>
      </c>
      <c r="B66" s="40" t="s">
        <v>15</v>
      </c>
      <c r="C66" s="41">
        <v>222.4</v>
      </c>
      <c r="D66" s="41" t="s">
        <v>47</v>
      </c>
      <c r="E66" s="41"/>
      <c r="G66" s="42"/>
      <c r="H66" s="42"/>
      <c r="I66" s="42"/>
      <c r="J66" s="42"/>
      <c r="K66" s="42"/>
      <c r="L66" s="42"/>
      <c r="M66" s="42"/>
    </row>
    <row r="67">
      <c r="A67" s="44">
        <v>45503.0</v>
      </c>
      <c r="B67" s="40" t="s">
        <v>79</v>
      </c>
      <c r="C67" s="41">
        <f>164.98*2</f>
        <v>329.96</v>
      </c>
      <c r="D67" s="41" t="s">
        <v>698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45502.0</v>
      </c>
      <c r="B68" s="40" t="s">
        <v>15</v>
      </c>
      <c r="C68" s="41">
        <v>159.98</v>
      </c>
      <c r="D68" s="41" t="s">
        <v>47</v>
      </c>
      <c r="E68" s="41"/>
      <c r="G68" s="42"/>
      <c r="H68" s="42"/>
      <c r="I68" s="42"/>
      <c r="J68" s="42"/>
      <c r="K68" s="42"/>
      <c r="L68" s="42"/>
      <c r="M68" s="42"/>
    </row>
    <row r="69">
      <c r="A69" s="44">
        <v>45501.0</v>
      </c>
      <c r="B69" s="40" t="s">
        <v>15</v>
      </c>
      <c r="C69" s="41">
        <v>38.37</v>
      </c>
      <c r="D69" s="41" t="s">
        <v>699</v>
      </c>
      <c r="E69" s="41"/>
      <c r="F69" s="19" t="s">
        <v>632</v>
      </c>
      <c r="G69" s="99">
        <v>36.3</v>
      </c>
      <c r="H69" s="42"/>
      <c r="I69" s="42"/>
      <c r="J69" s="42"/>
      <c r="K69" s="42"/>
      <c r="L69" s="42"/>
      <c r="M69" s="42"/>
    </row>
    <row r="70">
      <c r="A70" s="44">
        <v>45501.0</v>
      </c>
      <c r="B70" s="40" t="s">
        <v>17</v>
      </c>
      <c r="C70" s="41">
        <v>22.92</v>
      </c>
      <c r="D70" s="41" t="s">
        <v>700</v>
      </c>
      <c r="E70" s="41"/>
      <c r="G70" s="42"/>
      <c r="H70" s="42"/>
      <c r="I70" s="42"/>
      <c r="J70" s="42"/>
      <c r="K70" s="42"/>
      <c r="L70" s="42"/>
      <c r="M70" s="42"/>
    </row>
    <row r="71">
      <c r="A71" s="44">
        <v>45500.0</v>
      </c>
      <c r="B71" s="40" t="s">
        <v>25</v>
      </c>
      <c r="C71" s="41">
        <v>32.3</v>
      </c>
      <c r="D71" s="41" t="s">
        <v>580</v>
      </c>
      <c r="E71" s="41"/>
      <c r="G71" s="42"/>
      <c r="H71" s="42"/>
      <c r="I71" s="42"/>
      <c r="J71" s="42"/>
      <c r="K71" s="42"/>
      <c r="L71" s="42"/>
      <c r="M71" s="42"/>
    </row>
    <row r="72">
      <c r="A72" s="44">
        <v>45500.0</v>
      </c>
      <c r="B72" s="40" t="s">
        <v>17</v>
      </c>
      <c r="C72" s="41">
        <v>99.0</v>
      </c>
      <c r="D72" s="41" t="s">
        <v>701</v>
      </c>
      <c r="E72" s="41"/>
      <c r="G72" s="42"/>
      <c r="H72" s="42"/>
      <c r="I72" s="42"/>
      <c r="J72" s="42"/>
      <c r="K72" s="42"/>
      <c r="L72" s="42"/>
      <c r="M72" s="42"/>
    </row>
    <row r="73">
      <c r="A73" s="44">
        <v>45500.0</v>
      </c>
      <c r="B73" s="40" t="s">
        <v>25</v>
      </c>
      <c r="C73" s="41">
        <f>7.7*2/3</f>
        <v>5.133333333</v>
      </c>
      <c r="D73" s="41" t="s">
        <v>142</v>
      </c>
      <c r="E73" s="41"/>
      <c r="G73" s="42"/>
      <c r="H73" s="42"/>
      <c r="I73" s="42"/>
      <c r="J73" s="42"/>
      <c r="K73" s="42"/>
      <c r="L73" s="42"/>
      <c r="M73" s="42"/>
    </row>
    <row r="74">
      <c r="A74" s="44">
        <v>45500.0</v>
      </c>
      <c r="B74" s="40" t="s">
        <v>25</v>
      </c>
      <c r="C74" s="41">
        <v>3.81</v>
      </c>
      <c r="D74" s="41" t="s">
        <v>702</v>
      </c>
      <c r="E74" s="41"/>
      <c r="G74" s="42"/>
      <c r="H74" s="42"/>
      <c r="I74" s="42"/>
      <c r="J74" s="42"/>
      <c r="K74" s="42"/>
      <c r="L74" s="42"/>
      <c r="M74" s="42"/>
    </row>
    <row r="75">
      <c r="A75" s="44">
        <v>45500.0</v>
      </c>
      <c r="B75" s="40" t="s">
        <v>15</v>
      </c>
      <c r="C75" s="41">
        <f>9.21+24.93</f>
        <v>34.14</v>
      </c>
      <c r="D75" s="41" t="s">
        <v>47</v>
      </c>
      <c r="E75" s="41"/>
      <c r="G75" s="42"/>
      <c r="H75" s="42"/>
      <c r="I75" s="42"/>
      <c r="J75" s="42"/>
      <c r="K75" s="42"/>
      <c r="L75" s="42"/>
      <c r="M75" s="42"/>
    </row>
    <row r="76">
      <c r="A76" s="44">
        <v>45499.0</v>
      </c>
      <c r="B76" s="40" t="s">
        <v>17</v>
      </c>
      <c r="C76" s="41">
        <f>158.21*2/3</f>
        <v>105.4733333</v>
      </c>
      <c r="D76" s="41" t="s">
        <v>703</v>
      </c>
      <c r="E76" s="41"/>
      <c r="G76" s="42"/>
      <c r="H76" s="42"/>
      <c r="I76" s="42"/>
      <c r="J76" s="42"/>
      <c r="K76" s="42"/>
      <c r="L76" s="42"/>
      <c r="M76" s="42"/>
    </row>
    <row r="77">
      <c r="A77" s="44">
        <v>45499.0</v>
      </c>
      <c r="B77" s="40" t="s">
        <v>19</v>
      </c>
      <c r="C77" s="41">
        <v>113.37</v>
      </c>
      <c r="D77" s="100" t="s">
        <v>704</v>
      </c>
      <c r="E77" s="41"/>
      <c r="G77" s="42"/>
      <c r="H77" s="42"/>
      <c r="I77" s="42"/>
      <c r="J77" s="42"/>
      <c r="K77" s="42"/>
      <c r="L77" s="42"/>
      <c r="M77" s="42"/>
    </row>
    <row r="78">
      <c r="A78" s="44">
        <v>45499.0</v>
      </c>
      <c r="B78" s="40" t="s">
        <v>17</v>
      </c>
      <c r="C78" s="41">
        <v>6.24</v>
      </c>
      <c r="D78" s="41" t="s">
        <v>705</v>
      </c>
      <c r="E78" s="41"/>
      <c r="G78" s="42"/>
      <c r="H78" s="42"/>
      <c r="I78" s="42"/>
      <c r="J78" s="42"/>
      <c r="K78" s="42"/>
      <c r="L78" s="42"/>
      <c r="M78" s="42"/>
    </row>
    <row r="79">
      <c r="A79" s="44">
        <v>45497.0</v>
      </c>
      <c r="B79" s="40" t="s">
        <v>22</v>
      </c>
      <c r="C79" s="41">
        <v>46.17</v>
      </c>
      <c r="D79" s="41" t="s">
        <v>688</v>
      </c>
      <c r="E79" s="41"/>
      <c r="G79" s="42"/>
      <c r="H79" s="42"/>
      <c r="I79" s="42"/>
      <c r="J79" s="42"/>
      <c r="K79" s="42"/>
      <c r="L79" s="42"/>
      <c r="M79" s="42"/>
    </row>
    <row r="80">
      <c r="A80" s="44">
        <v>45496.0</v>
      </c>
      <c r="B80" s="40" t="s">
        <v>19</v>
      </c>
      <c r="C80" s="41">
        <v>107.12</v>
      </c>
      <c r="D80" s="41" t="s">
        <v>47</v>
      </c>
      <c r="E80" s="41"/>
      <c r="G80" s="42"/>
      <c r="H80" s="42"/>
      <c r="I80" s="42"/>
      <c r="J80" s="42"/>
      <c r="K80" s="42"/>
      <c r="L80" s="42"/>
      <c r="M80" s="42"/>
    </row>
    <row r="81">
      <c r="A81" s="44">
        <v>45495.0</v>
      </c>
      <c r="B81" s="40" t="s">
        <v>15</v>
      </c>
      <c r="C81" s="41">
        <f>51.32*2/3</f>
        <v>34.21333333</v>
      </c>
      <c r="D81" s="41" t="s">
        <v>697</v>
      </c>
      <c r="E81" s="41"/>
      <c r="G81" s="42"/>
      <c r="H81" s="42"/>
      <c r="I81" s="42"/>
      <c r="J81" s="42"/>
      <c r="K81" s="42"/>
      <c r="L81" s="42"/>
      <c r="M81" s="42"/>
    </row>
    <row r="82">
      <c r="A82" s="44">
        <v>45495.0</v>
      </c>
      <c r="B82" s="40" t="s">
        <v>15</v>
      </c>
      <c r="C82" s="41">
        <f>196.5*2/3</f>
        <v>131</v>
      </c>
      <c r="D82" s="41" t="s">
        <v>47</v>
      </c>
      <c r="E82" s="41"/>
      <c r="G82" s="42"/>
      <c r="H82" s="42"/>
      <c r="I82" s="42"/>
      <c r="J82" s="42"/>
      <c r="K82" s="42"/>
      <c r="L82" s="42"/>
      <c r="M82" s="42"/>
    </row>
    <row r="83">
      <c r="A83" s="44">
        <v>45493.0</v>
      </c>
      <c r="B83" s="40" t="s">
        <v>17</v>
      </c>
      <c r="C83" s="41">
        <v>4.4</v>
      </c>
      <c r="D83" s="41" t="s">
        <v>706</v>
      </c>
      <c r="E83" s="41"/>
      <c r="G83" s="42"/>
      <c r="H83" s="42"/>
      <c r="I83" s="42"/>
      <c r="J83" s="42"/>
      <c r="K83" s="42"/>
      <c r="L83" s="42"/>
      <c r="M83" s="42"/>
    </row>
    <row r="84">
      <c r="A84" s="44">
        <v>45493.0</v>
      </c>
      <c r="B84" s="40" t="s">
        <v>25</v>
      </c>
      <c r="C84" s="41">
        <v>74.0</v>
      </c>
      <c r="D84" s="41" t="s">
        <v>707</v>
      </c>
      <c r="E84" s="41"/>
      <c r="G84" s="42"/>
      <c r="H84" s="42"/>
      <c r="I84" s="42"/>
      <c r="J84" s="42"/>
      <c r="K84" s="42"/>
      <c r="L84" s="42"/>
      <c r="M84" s="42"/>
    </row>
    <row r="85">
      <c r="A85" s="44">
        <v>45493.0</v>
      </c>
      <c r="B85" s="40" t="s">
        <v>17</v>
      </c>
      <c r="C85" s="41">
        <v>4.19</v>
      </c>
      <c r="D85" s="41" t="s">
        <v>708</v>
      </c>
      <c r="E85" s="41"/>
      <c r="G85" s="42"/>
      <c r="H85" s="42"/>
      <c r="I85" s="42"/>
      <c r="J85" s="42"/>
      <c r="K85" s="42"/>
      <c r="L85" s="42"/>
      <c r="M85" s="42"/>
    </row>
    <row r="86">
      <c r="A86" s="44">
        <v>45488.0</v>
      </c>
      <c r="B86" s="40" t="s">
        <v>25</v>
      </c>
      <c r="C86" s="41">
        <v>42.8</v>
      </c>
      <c r="D86" s="41" t="s">
        <v>709</v>
      </c>
      <c r="E86" s="41"/>
      <c r="G86" s="42"/>
      <c r="H86" s="42"/>
      <c r="I86" s="42"/>
      <c r="J86" s="42"/>
      <c r="K86" s="42"/>
      <c r="L86" s="42"/>
      <c r="M86" s="42"/>
    </row>
    <row r="87">
      <c r="A87" s="44">
        <v>45487.0</v>
      </c>
      <c r="B87" s="40" t="s">
        <v>25</v>
      </c>
      <c r="C87" s="41">
        <v>7.7</v>
      </c>
      <c r="D87" s="41" t="s">
        <v>710</v>
      </c>
      <c r="E87" s="41"/>
      <c r="G87" s="42"/>
      <c r="H87" s="42"/>
      <c r="I87" s="42"/>
      <c r="J87" s="42"/>
      <c r="K87" s="42"/>
      <c r="L87" s="42"/>
      <c r="M87" s="42"/>
    </row>
    <row r="88">
      <c r="A88" s="44">
        <v>45486.0</v>
      </c>
      <c r="B88" s="40" t="s">
        <v>15</v>
      </c>
      <c r="C88" s="41">
        <v>15.96</v>
      </c>
      <c r="D88" s="41" t="s">
        <v>677</v>
      </c>
      <c r="E88" s="41"/>
      <c r="G88" s="42"/>
      <c r="H88" s="42"/>
      <c r="I88" s="42"/>
      <c r="J88" s="42"/>
      <c r="K88" s="42"/>
      <c r="L88" s="42"/>
      <c r="M88" s="42"/>
    </row>
    <row r="89">
      <c r="A89" s="44">
        <v>45485.0</v>
      </c>
      <c r="B89" s="40" t="s">
        <v>24</v>
      </c>
      <c r="C89" s="41">
        <v>120.0</v>
      </c>
      <c r="D89" s="41" t="s">
        <v>711</v>
      </c>
      <c r="E89" s="41"/>
      <c r="G89" s="42"/>
      <c r="H89" s="42"/>
      <c r="I89" s="42"/>
      <c r="J89" s="42"/>
      <c r="K89" s="42"/>
      <c r="L89" s="42"/>
      <c r="M89" s="42"/>
    </row>
    <row r="90">
      <c r="A90" s="44">
        <v>45485.0</v>
      </c>
      <c r="B90" s="40" t="s">
        <v>15</v>
      </c>
      <c r="C90" s="41">
        <v>47.17</v>
      </c>
      <c r="D90" s="41" t="s">
        <v>606</v>
      </c>
      <c r="E90" s="41"/>
      <c r="G90" s="42"/>
      <c r="H90" s="42"/>
      <c r="I90" s="42"/>
      <c r="J90" s="42"/>
      <c r="K90" s="42"/>
      <c r="L90" s="42"/>
      <c r="M90" s="42"/>
    </row>
    <row r="91">
      <c r="A91" s="44">
        <v>45485.0</v>
      </c>
      <c r="B91" s="40" t="s">
        <v>15</v>
      </c>
      <c r="C91" s="41">
        <v>84.13</v>
      </c>
      <c r="D91" s="41" t="s">
        <v>47</v>
      </c>
      <c r="E91" s="41"/>
      <c r="G91" s="42"/>
      <c r="H91" s="42"/>
      <c r="I91" s="42"/>
      <c r="J91" s="42"/>
      <c r="K91" s="42"/>
      <c r="L91" s="42"/>
      <c r="M91" s="42"/>
    </row>
    <row r="92">
      <c r="A92" s="44">
        <v>45483.0</v>
      </c>
      <c r="B92" s="40" t="s">
        <v>19</v>
      </c>
      <c r="C92" s="41">
        <v>127.0</v>
      </c>
      <c r="D92" s="41" t="s">
        <v>712</v>
      </c>
      <c r="E92" s="41"/>
      <c r="G92" s="42"/>
      <c r="H92" s="42"/>
      <c r="I92" s="42"/>
      <c r="J92" s="42"/>
      <c r="K92" s="42"/>
      <c r="L92" s="42"/>
      <c r="M92" s="42"/>
    </row>
    <row r="93">
      <c r="A93" s="44">
        <v>45483.0</v>
      </c>
      <c r="B93" s="40" t="s">
        <v>25</v>
      </c>
      <c r="C93" s="41">
        <v>10.0</v>
      </c>
      <c r="D93" s="41" t="s">
        <v>713</v>
      </c>
      <c r="E93" s="41"/>
      <c r="G93" s="42"/>
      <c r="H93" s="42"/>
      <c r="I93" s="42"/>
      <c r="J93" s="42"/>
      <c r="K93" s="42"/>
      <c r="L93" s="42"/>
      <c r="M93" s="42"/>
    </row>
    <row r="94">
      <c r="A94" s="44">
        <v>45481.0</v>
      </c>
      <c r="B94" s="40" t="s">
        <v>15</v>
      </c>
      <c r="C94" s="41">
        <v>80.0</v>
      </c>
      <c r="D94" s="41" t="s">
        <v>714</v>
      </c>
      <c r="E94" s="41"/>
      <c r="G94" s="42"/>
      <c r="H94" s="42"/>
      <c r="I94" s="42"/>
      <c r="J94" s="42"/>
      <c r="K94" s="42"/>
      <c r="L94" s="42"/>
      <c r="M94" s="42"/>
    </row>
    <row r="95">
      <c r="A95" s="44">
        <v>45501.0</v>
      </c>
      <c r="B95" s="40" t="s">
        <v>17</v>
      </c>
      <c r="C95" s="41">
        <v>48.0</v>
      </c>
      <c r="D95" s="41" t="s">
        <v>596</v>
      </c>
      <c r="E95" s="41"/>
      <c r="G95" s="42"/>
      <c r="H95" s="42"/>
      <c r="I95" s="42"/>
      <c r="J95" s="42"/>
      <c r="K95" s="42"/>
      <c r="L95" s="42"/>
      <c r="M95" s="42"/>
    </row>
    <row r="96">
      <c r="A96" s="44">
        <v>45486.0</v>
      </c>
      <c r="B96" s="40" t="s">
        <v>79</v>
      </c>
      <c r="C96" s="41">
        <f>260*2</f>
        <v>520</v>
      </c>
      <c r="D96" s="41" t="s">
        <v>715</v>
      </c>
      <c r="E96" s="41"/>
      <c r="G96" s="42"/>
      <c r="H96" s="42"/>
      <c r="I96" s="42"/>
      <c r="J96" s="42"/>
      <c r="K96" s="42"/>
      <c r="L96" s="42"/>
      <c r="M96" s="42"/>
    </row>
    <row r="97">
      <c r="A97" s="44">
        <v>45486.0</v>
      </c>
      <c r="B97" s="40" t="s">
        <v>79</v>
      </c>
      <c r="C97" s="41">
        <v>-250.0</v>
      </c>
      <c r="D97" s="41" t="s">
        <v>716</v>
      </c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</sheetData>
  <autoFilter ref="$A$33:$D$97"/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101">
      <formula1>'Hidden list and Figures'!$A$3:$A$15</formula1>
    </dataValidation>
    <dataValidation type="custom" allowBlank="1" showDropDown="1" showInputMessage="1" prompt="Select a date" sqref="A34:A101">
      <formula1>OR(NOT(ISERROR(DATEVALUE(A34))), AND(ISNUMBER(A34), LEFT(CELL("format", A34))="D"))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sumif($B$20:$C$101,A6,$C$20:$C$101)</f>
        <v>4848.476667</v>
      </c>
      <c r="D6" s="17">
        <f t="shared" ref="D6:D16" si="2">B6-C6</f>
        <v>-2184.796667</v>
      </c>
      <c r="E6" s="18">
        <f t="shared" ref="E6:E17" si="3">D6/B6</f>
        <v>-0.8202173935</v>
      </c>
      <c r="G6" s="19" t="s">
        <v>11</v>
      </c>
      <c r="H6" s="96">
        <f>3080*2</f>
        <v>6160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f>3370*2</f>
        <v>6740</v>
      </c>
    </row>
    <row r="8">
      <c r="A8" s="21" t="s">
        <v>14</v>
      </c>
      <c r="B8" s="22">
        <v>250.0</v>
      </c>
      <c r="C8" s="22">
        <f t="shared" si="1"/>
        <v>155.65</v>
      </c>
      <c r="D8" s="23">
        <f t="shared" si="2"/>
        <v>94.35</v>
      </c>
      <c r="E8" s="18">
        <f t="shared" si="3"/>
        <v>0.3774</v>
      </c>
      <c r="G8" s="64" t="s">
        <v>27</v>
      </c>
      <c r="H8" s="92">
        <f>SUM(H6:H7)</f>
        <v>12900</v>
      </c>
    </row>
    <row r="9">
      <c r="A9" s="24" t="s">
        <v>15</v>
      </c>
      <c r="B9" s="22">
        <v>400.0</v>
      </c>
      <c r="C9" s="22">
        <f t="shared" si="1"/>
        <v>1085.31</v>
      </c>
      <c r="D9" s="23">
        <f t="shared" si="2"/>
        <v>-685.31</v>
      </c>
      <c r="E9" s="18">
        <f t="shared" si="3"/>
        <v>-1.713275</v>
      </c>
    </row>
    <row r="10">
      <c r="A10" s="24" t="s">
        <v>17</v>
      </c>
      <c r="B10" s="22">
        <v>400.0</v>
      </c>
      <c r="C10" s="22">
        <f t="shared" si="1"/>
        <v>695.2028571</v>
      </c>
      <c r="D10" s="23">
        <f t="shared" si="2"/>
        <v>-295.2028571</v>
      </c>
      <c r="E10" s="18">
        <f t="shared" si="3"/>
        <v>-0.7380071429</v>
      </c>
      <c r="G10" s="13" t="s">
        <v>16</v>
      </c>
      <c r="H10" s="14"/>
    </row>
    <row r="11">
      <c r="A11" s="22" t="s">
        <v>19</v>
      </c>
      <c r="B11" s="22">
        <v>200.0</v>
      </c>
      <c r="C11" s="22">
        <f t="shared" si="1"/>
        <v>440.07</v>
      </c>
      <c r="D11" s="23">
        <f t="shared" si="2"/>
        <v>-240.07</v>
      </c>
      <c r="E11" s="18">
        <f t="shared" si="3"/>
        <v>-1.20035</v>
      </c>
      <c r="G11" s="19" t="s">
        <v>18</v>
      </c>
      <c r="H11" s="14">
        <f>sum(C17)</f>
        <v>8643.159524</v>
      </c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H12" s="14"/>
    </row>
    <row r="13">
      <c r="A13" s="25" t="s">
        <v>22</v>
      </c>
      <c r="B13" s="22">
        <v>200.0</v>
      </c>
      <c r="C13" s="22">
        <f t="shared" ref="C13:C16" si="4">sumif($B$20:$C$101,A13,$C$20:$C$101)</f>
        <v>134.8</v>
      </c>
      <c r="D13" s="23">
        <f t="shared" si="2"/>
        <v>65.2</v>
      </c>
      <c r="E13" s="18">
        <f t="shared" si="3"/>
        <v>0.326</v>
      </c>
      <c r="G13" s="13" t="s">
        <v>21</v>
      </c>
      <c r="H13" s="14"/>
    </row>
    <row r="14">
      <c r="A14" s="26" t="s">
        <v>24</v>
      </c>
      <c r="B14" s="27">
        <v>0.0</v>
      </c>
      <c r="C14" s="22">
        <f t="shared" si="4"/>
        <v>386.22</v>
      </c>
      <c r="D14" s="23">
        <f t="shared" si="2"/>
        <v>-386.22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397.43</v>
      </c>
      <c r="D15" s="28">
        <f t="shared" si="2"/>
        <v>-97.43</v>
      </c>
      <c r="E15" s="18">
        <f t="shared" si="3"/>
        <v>-0.3247666667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22">
        <f t="shared" si="4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SUMIF($B$20:$C$123,"Travel",$C$20:$C$123)</f>
        <v>618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5">SUM(B6:B16)</f>
        <v>4913.68</v>
      </c>
      <c r="C17" s="31">
        <f t="shared" si="5"/>
        <v>8643.159524</v>
      </c>
      <c r="D17" s="31">
        <f>SUM(D6:D15)</f>
        <v>-3729.479524</v>
      </c>
      <c r="E17" s="18">
        <f t="shared" si="3"/>
        <v>-0.7589992681</v>
      </c>
      <c r="F17" s="36"/>
      <c r="G17" s="13" t="s">
        <v>28</v>
      </c>
      <c r="H17" s="33">
        <f>500-SUMIF($B$20:$C$123,"Travel",$C$20:$C$123)+'July 2024'!H17</f>
        <v>631.49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f>2900+1476</f>
        <v>4376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40.0</v>
      </c>
      <c r="D21" s="95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89.0</v>
      </c>
      <c r="D22" s="95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42.62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20.5</v>
      </c>
      <c r="D24" s="95" t="s">
        <v>22</v>
      </c>
      <c r="E24" s="41"/>
      <c r="G24" s="42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77/12</f>
        <v>6.416666667</v>
      </c>
      <c r="D25" s="41" t="s">
        <v>529</v>
      </c>
      <c r="E25" s="41"/>
      <c r="G25" s="42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144.0</v>
      </c>
      <c r="D26" s="41" t="s">
        <v>23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2.87</v>
      </c>
      <c r="D27" s="41" t="s">
        <v>39</v>
      </c>
      <c r="E27" s="41"/>
      <c r="G27" s="42"/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2.99</v>
      </c>
      <c r="D28" s="41" t="s">
        <v>40</v>
      </c>
      <c r="E28" s="41"/>
      <c r="G28" s="42"/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5.83</v>
      </c>
      <c r="D29" s="41" t="s">
        <v>41</v>
      </c>
      <c r="E29" s="41"/>
      <c r="G29" s="42"/>
      <c r="H29" s="42"/>
      <c r="I29" s="42"/>
      <c r="J29" s="42"/>
      <c r="K29" s="42"/>
      <c r="L29" s="42"/>
      <c r="M29" s="42"/>
    </row>
    <row r="30">
      <c r="A30" s="40" t="s">
        <v>32</v>
      </c>
      <c r="B30" s="40" t="s">
        <v>10</v>
      </c>
      <c r="C30" s="41">
        <v>6.25</v>
      </c>
      <c r="D30" s="41" t="s">
        <v>488</v>
      </c>
      <c r="E30" s="41"/>
      <c r="G30" s="42"/>
      <c r="H30" s="42"/>
      <c r="I30" s="42"/>
      <c r="J30" s="42"/>
      <c r="K30" s="42"/>
      <c r="L30" s="42"/>
      <c r="M30" s="42"/>
    </row>
    <row r="31">
      <c r="A31" s="40" t="s">
        <v>32</v>
      </c>
      <c r="B31" s="40" t="s">
        <v>10</v>
      </c>
      <c r="C31" s="41">
        <v>112.0</v>
      </c>
      <c r="D31" s="41" t="s">
        <v>42</v>
      </c>
      <c r="E31" s="41"/>
      <c r="G31" s="42"/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G32" s="42"/>
      <c r="H32" s="42"/>
      <c r="I32" s="42"/>
      <c r="J32" s="42"/>
      <c r="K32" s="42"/>
      <c r="L32" s="42"/>
      <c r="M32" s="42"/>
    </row>
    <row r="33">
      <c r="A33" s="43"/>
      <c r="B33" s="40"/>
      <c r="C33" s="41"/>
      <c r="D33" s="41"/>
      <c r="E33" s="41"/>
      <c r="G33" s="42"/>
      <c r="H33" s="42"/>
      <c r="I33" s="42"/>
      <c r="J33" s="42"/>
      <c r="K33" s="42"/>
      <c r="L33" s="42"/>
      <c r="M33" s="42"/>
    </row>
    <row r="34" hidden="1">
      <c r="A34" s="48">
        <v>45506.0</v>
      </c>
      <c r="B34" s="40" t="s">
        <v>25</v>
      </c>
      <c r="C34" s="41">
        <v>10.75</v>
      </c>
      <c r="D34" s="41" t="s">
        <v>717</v>
      </c>
      <c r="G34" s="42"/>
      <c r="H34" s="42"/>
      <c r="I34" s="42"/>
      <c r="J34" s="42"/>
      <c r="K34" s="42"/>
      <c r="L34" s="42"/>
      <c r="M34" s="42"/>
    </row>
    <row r="35" hidden="1">
      <c r="A35" s="91">
        <v>45507.0</v>
      </c>
      <c r="B35" s="40" t="s">
        <v>15</v>
      </c>
      <c r="C35" s="41">
        <v>26.67</v>
      </c>
      <c r="D35" s="41" t="s">
        <v>64</v>
      </c>
      <c r="G35" s="42"/>
      <c r="H35" s="42"/>
      <c r="I35" s="42"/>
      <c r="J35" s="42"/>
      <c r="K35" s="42"/>
      <c r="L35" s="42"/>
      <c r="M35" s="42"/>
    </row>
    <row r="36" hidden="1">
      <c r="A36" s="91">
        <v>45507.0</v>
      </c>
      <c r="B36" s="40" t="s">
        <v>22</v>
      </c>
      <c r="C36" s="98">
        <v>59.8</v>
      </c>
      <c r="D36" s="98" t="s">
        <v>22</v>
      </c>
      <c r="G36" s="42"/>
      <c r="H36" s="42"/>
      <c r="I36" s="42"/>
      <c r="J36" s="42"/>
      <c r="K36" s="42"/>
      <c r="L36" s="42"/>
      <c r="M36" s="42"/>
    </row>
    <row r="37">
      <c r="A37" s="44">
        <v>45507.0</v>
      </c>
      <c r="B37" s="40" t="s">
        <v>17</v>
      </c>
      <c r="C37" s="93">
        <v>7.47</v>
      </c>
      <c r="D37" s="93" t="s">
        <v>718</v>
      </c>
      <c r="G37" s="42"/>
      <c r="H37" s="42"/>
      <c r="I37" s="42"/>
      <c r="J37" s="42"/>
      <c r="K37" s="42"/>
      <c r="L37" s="42"/>
      <c r="M37" s="42"/>
    </row>
    <row r="38" hidden="1">
      <c r="A38" s="44">
        <v>45507.0</v>
      </c>
      <c r="B38" s="40" t="s">
        <v>19</v>
      </c>
      <c r="C38" s="93">
        <v>5.99</v>
      </c>
      <c r="D38" s="93" t="s">
        <v>83</v>
      </c>
      <c r="G38" s="42"/>
      <c r="H38" s="42"/>
      <c r="I38" s="42"/>
      <c r="J38" s="42"/>
      <c r="K38" s="42"/>
      <c r="L38" s="42"/>
      <c r="M38" s="42"/>
    </row>
    <row r="39" hidden="1">
      <c r="A39" s="44">
        <v>45509.0</v>
      </c>
      <c r="B39" s="40" t="s">
        <v>19</v>
      </c>
      <c r="C39" s="93">
        <v>3.19</v>
      </c>
      <c r="D39" s="93" t="s">
        <v>719</v>
      </c>
      <c r="G39" s="42"/>
      <c r="H39" s="42"/>
      <c r="I39" s="42"/>
      <c r="J39" s="42"/>
      <c r="K39" s="42"/>
      <c r="L39" s="42"/>
      <c r="M39" s="42"/>
    </row>
    <row r="40">
      <c r="A40" s="44">
        <v>45509.0</v>
      </c>
      <c r="B40" s="40" t="s">
        <v>17</v>
      </c>
      <c r="C40" s="93">
        <v>4.47</v>
      </c>
      <c r="D40" s="93" t="s">
        <v>718</v>
      </c>
      <c r="G40" s="42"/>
      <c r="H40" s="42"/>
      <c r="I40" s="42"/>
      <c r="J40" s="42"/>
      <c r="K40" s="42"/>
      <c r="L40" s="42"/>
      <c r="M40" s="42"/>
    </row>
    <row r="41">
      <c r="A41" s="44">
        <v>45512.0</v>
      </c>
      <c r="B41" s="40" t="s">
        <v>17</v>
      </c>
      <c r="C41" s="93">
        <v>3.47</v>
      </c>
      <c r="D41" s="93" t="s">
        <v>474</v>
      </c>
      <c r="G41" s="42"/>
      <c r="H41" s="42"/>
      <c r="I41" s="42"/>
      <c r="J41" s="42"/>
      <c r="K41" s="42"/>
      <c r="L41" s="42"/>
      <c r="M41" s="42"/>
    </row>
    <row r="42">
      <c r="A42" s="44">
        <v>45514.0</v>
      </c>
      <c r="B42" s="40" t="s">
        <v>17</v>
      </c>
      <c r="C42" s="93">
        <v>14.49</v>
      </c>
      <c r="D42" s="93" t="s">
        <v>718</v>
      </c>
      <c r="G42" s="42"/>
      <c r="H42" s="42"/>
      <c r="I42" s="42"/>
      <c r="J42" s="42"/>
      <c r="K42" s="42"/>
      <c r="L42" s="42"/>
      <c r="M42" s="42"/>
    </row>
    <row r="43" hidden="1">
      <c r="A43" s="44"/>
      <c r="B43" s="40"/>
      <c r="C43" s="93"/>
      <c r="D43" s="93"/>
      <c r="G43" s="42"/>
      <c r="H43" s="42"/>
      <c r="I43" s="42"/>
      <c r="J43" s="42"/>
      <c r="K43" s="42"/>
      <c r="L43" s="42"/>
      <c r="M43" s="42"/>
    </row>
    <row r="44" hidden="1">
      <c r="A44" s="44">
        <v>45515.0</v>
      </c>
      <c r="B44" s="40" t="s">
        <v>24</v>
      </c>
      <c r="C44" s="93">
        <v>99.1</v>
      </c>
      <c r="D44" s="93" t="s">
        <v>720</v>
      </c>
      <c r="G44" s="42"/>
      <c r="H44" s="42"/>
      <c r="I44" s="42"/>
      <c r="J44" s="42"/>
      <c r="K44" s="42"/>
      <c r="L44" s="42"/>
      <c r="M44" s="42"/>
    </row>
    <row r="45" hidden="1">
      <c r="A45" s="44">
        <v>45505.0</v>
      </c>
      <c r="B45" s="40" t="s">
        <v>24</v>
      </c>
      <c r="C45" s="93">
        <v>179.12</v>
      </c>
      <c r="D45" s="93" t="s">
        <v>721</v>
      </c>
      <c r="G45" s="42"/>
      <c r="H45" s="42"/>
      <c r="I45" s="42"/>
      <c r="J45" s="42"/>
      <c r="K45" s="42"/>
      <c r="L45" s="42"/>
      <c r="M45" s="42"/>
    </row>
    <row r="46" hidden="1">
      <c r="A46" s="44">
        <v>45515.0</v>
      </c>
      <c r="B46" s="40" t="s">
        <v>15</v>
      </c>
      <c r="C46" s="93">
        <v>85.58</v>
      </c>
      <c r="D46" s="93" t="s">
        <v>47</v>
      </c>
      <c r="G46" s="42"/>
      <c r="H46" s="42"/>
      <c r="I46" s="42"/>
      <c r="J46" s="42"/>
      <c r="K46" s="42"/>
      <c r="L46" s="42"/>
      <c r="M46" s="42"/>
    </row>
    <row r="47">
      <c r="A47" s="44">
        <v>45512.0</v>
      </c>
      <c r="B47" s="40" t="s">
        <v>17</v>
      </c>
      <c r="C47" s="93">
        <v>19.6</v>
      </c>
      <c r="D47" s="93" t="s">
        <v>112</v>
      </c>
      <c r="G47" s="42"/>
      <c r="H47" s="42"/>
      <c r="I47" s="42"/>
      <c r="J47" s="42"/>
      <c r="K47" s="42"/>
      <c r="L47" s="42"/>
      <c r="M47" s="42"/>
    </row>
    <row r="48">
      <c r="A48" s="44">
        <v>45512.0</v>
      </c>
      <c r="B48" s="40" t="s">
        <v>17</v>
      </c>
      <c r="C48" s="93">
        <v>5.12</v>
      </c>
      <c r="D48" s="93" t="s">
        <v>546</v>
      </c>
      <c r="G48" s="42"/>
      <c r="H48" s="42"/>
      <c r="I48" s="42"/>
      <c r="J48" s="42"/>
      <c r="K48" s="42"/>
      <c r="L48" s="42"/>
      <c r="M48" s="42"/>
    </row>
    <row r="49">
      <c r="A49" s="44">
        <v>45510.0</v>
      </c>
      <c r="B49" s="40" t="s">
        <v>17</v>
      </c>
      <c r="C49" s="93">
        <v>6.95</v>
      </c>
      <c r="D49" s="93" t="s">
        <v>546</v>
      </c>
      <c r="E49" s="90"/>
      <c r="G49" s="42"/>
      <c r="H49" s="42"/>
      <c r="I49" s="42"/>
      <c r="J49" s="42"/>
      <c r="K49" s="42"/>
      <c r="L49" s="42"/>
      <c r="M49" s="42"/>
    </row>
    <row r="50" hidden="1">
      <c r="A50" s="44">
        <v>45508.0</v>
      </c>
      <c r="B50" s="40" t="s">
        <v>15</v>
      </c>
      <c r="C50" s="93">
        <v>17.87</v>
      </c>
      <c r="D50" s="93" t="s">
        <v>722</v>
      </c>
      <c r="E50" s="90"/>
      <c r="G50" s="42"/>
      <c r="H50" s="42"/>
      <c r="I50" s="42"/>
      <c r="J50" s="42"/>
      <c r="K50" s="42"/>
      <c r="L50" s="42"/>
      <c r="M50" s="42"/>
    </row>
    <row r="51" hidden="1">
      <c r="A51" s="44">
        <v>45513.0</v>
      </c>
      <c r="B51" s="40" t="s">
        <v>79</v>
      </c>
      <c r="C51" s="93">
        <v>540.0</v>
      </c>
      <c r="D51" s="93" t="s">
        <v>723</v>
      </c>
      <c r="E51" s="90"/>
      <c r="G51" s="42"/>
      <c r="H51" s="42"/>
      <c r="I51" s="42"/>
      <c r="J51" s="42"/>
      <c r="K51" s="42"/>
      <c r="L51" s="42"/>
      <c r="M51" s="42"/>
    </row>
    <row r="52" hidden="1">
      <c r="A52" s="44">
        <v>45508.0</v>
      </c>
      <c r="B52" s="40" t="s">
        <v>25</v>
      </c>
      <c r="C52" s="93">
        <f>66.59*2</f>
        <v>133.18</v>
      </c>
      <c r="D52" s="93" t="s">
        <v>724</v>
      </c>
      <c r="E52" s="90"/>
      <c r="G52" s="42"/>
      <c r="H52" s="42"/>
      <c r="I52" s="42"/>
      <c r="J52" s="42"/>
      <c r="K52" s="42"/>
      <c r="L52" s="42"/>
      <c r="M52" s="42"/>
    </row>
    <row r="53">
      <c r="A53" s="44">
        <v>45512.0</v>
      </c>
      <c r="B53" s="40" t="s">
        <v>17</v>
      </c>
      <c r="C53" s="93">
        <v>27.75</v>
      </c>
      <c r="D53" s="93" t="s">
        <v>725</v>
      </c>
      <c r="E53" s="41"/>
      <c r="G53" s="42"/>
      <c r="H53" s="42"/>
      <c r="I53" s="42"/>
      <c r="J53" s="42"/>
      <c r="K53" s="42"/>
      <c r="L53" s="42"/>
      <c r="M53" s="42"/>
    </row>
    <row r="54" hidden="1">
      <c r="A54" s="44">
        <v>45516.0</v>
      </c>
      <c r="B54" s="40" t="s">
        <v>79</v>
      </c>
      <c r="C54" s="93">
        <v>78.0</v>
      </c>
      <c r="D54" s="93" t="s">
        <v>726</v>
      </c>
      <c r="E54" s="41"/>
      <c r="G54" s="42"/>
      <c r="H54" s="42"/>
      <c r="I54" s="42"/>
      <c r="J54" s="42"/>
      <c r="K54" s="42"/>
      <c r="L54" s="42"/>
      <c r="M54" s="42"/>
    </row>
    <row r="55">
      <c r="A55" s="44">
        <v>45521.0</v>
      </c>
      <c r="B55" s="40" t="s">
        <v>17</v>
      </c>
      <c r="C55" s="93">
        <v>98.0</v>
      </c>
      <c r="D55" s="93" t="s">
        <v>727</v>
      </c>
      <c r="E55" s="41"/>
      <c r="G55" s="42"/>
      <c r="H55" s="42"/>
      <c r="I55" s="42"/>
      <c r="J55" s="42"/>
      <c r="K55" s="42"/>
      <c r="L55" s="42"/>
      <c r="M55" s="42"/>
    </row>
    <row r="56">
      <c r="A56" s="44">
        <v>45527.0</v>
      </c>
      <c r="B56" s="40" t="s">
        <v>17</v>
      </c>
      <c r="C56" s="93">
        <v>83.0</v>
      </c>
      <c r="D56" s="93" t="s">
        <v>674</v>
      </c>
      <c r="E56" s="41"/>
      <c r="G56" s="42"/>
      <c r="H56" s="42"/>
      <c r="I56" s="42"/>
      <c r="J56" s="42"/>
      <c r="K56" s="42"/>
      <c r="L56" s="42"/>
      <c r="M56" s="42"/>
    </row>
    <row r="57" hidden="1">
      <c r="A57" s="91">
        <v>45523.0</v>
      </c>
      <c r="B57" s="40"/>
      <c r="C57" s="93">
        <v>20.0</v>
      </c>
      <c r="D57" s="93" t="s">
        <v>728</v>
      </c>
      <c r="E57" s="41" t="s">
        <v>729</v>
      </c>
      <c r="G57" s="42"/>
      <c r="H57" s="42"/>
      <c r="I57" s="42"/>
      <c r="J57" s="42"/>
      <c r="K57" s="42"/>
      <c r="L57" s="42"/>
      <c r="M57" s="42"/>
    </row>
    <row r="58" hidden="1">
      <c r="A58" s="44">
        <v>45530.0</v>
      </c>
      <c r="B58" s="40"/>
      <c r="C58" s="93">
        <v>20.0</v>
      </c>
      <c r="D58" s="93" t="s">
        <v>584</v>
      </c>
      <c r="E58" s="41" t="s">
        <v>729</v>
      </c>
      <c r="G58" s="42"/>
      <c r="H58" s="42"/>
      <c r="I58" s="42"/>
      <c r="J58" s="42"/>
      <c r="K58" s="42"/>
      <c r="L58" s="42"/>
      <c r="M58" s="42"/>
    </row>
    <row r="59" hidden="1">
      <c r="A59" s="44">
        <v>45533.0</v>
      </c>
      <c r="B59" s="40"/>
      <c r="C59" s="93">
        <v>350.0</v>
      </c>
      <c r="D59" s="93" t="s">
        <v>730</v>
      </c>
      <c r="E59" s="41"/>
      <c r="G59" s="42"/>
      <c r="H59" s="42"/>
      <c r="I59" s="42"/>
      <c r="J59" s="42"/>
      <c r="K59" s="42"/>
      <c r="L59" s="42"/>
      <c r="M59" s="42"/>
    </row>
    <row r="60" hidden="1">
      <c r="A60" s="91">
        <v>45535.0</v>
      </c>
      <c r="B60" s="40" t="s">
        <v>19</v>
      </c>
      <c r="C60" s="93">
        <v>96.89</v>
      </c>
      <c r="D60" s="93" t="s">
        <v>731</v>
      </c>
      <c r="E60" s="41"/>
      <c r="G60" s="42"/>
      <c r="H60" s="42"/>
      <c r="I60" s="42"/>
      <c r="J60" s="42"/>
      <c r="K60" s="42"/>
      <c r="L60" s="42"/>
      <c r="M60" s="42"/>
    </row>
    <row r="61" hidden="1">
      <c r="A61" s="48">
        <v>45535.0</v>
      </c>
      <c r="B61" s="40" t="s">
        <v>22</v>
      </c>
      <c r="C61" s="93">
        <v>75.0</v>
      </c>
      <c r="D61" s="93" t="s">
        <v>22</v>
      </c>
      <c r="E61" s="41"/>
      <c r="G61" s="42"/>
      <c r="H61" s="42"/>
      <c r="I61" s="42"/>
      <c r="J61" s="42"/>
      <c r="K61" s="42"/>
      <c r="L61" s="42"/>
      <c r="M61" s="42"/>
    </row>
    <row r="62" hidden="1">
      <c r="A62" s="48">
        <v>45528.0</v>
      </c>
      <c r="B62" s="40" t="s">
        <v>19</v>
      </c>
      <c r="C62" s="93">
        <v>14.0</v>
      </c>
      <c r="D62" s="93" t="s">
        <v>47</v>
      </c>
      <c r="E62" s="41"/>
      <c r="G62" s="42"/>
      <c r="H62" s="42"/>
      <c r="I62" s="42"/>
      <c r="J62" s="42"/>
      <c r="K62" s="42"/>
      <c r="L62" s="42"/>
      <c r="M62" s="42"/>
    </row>
    <row r="63" hidden="1">
      <c r="A63" s="48">
        <v>45532.0</v>
      </c>
      <c r="B63" s="40" t="s">
        <v>19</v>
      </c>
      <c r="C63" s="93">
        <v>50.0</v>
      </c>
      <c r="D63" s="93" t="s">
        <v>732</v>
      </c>
      <c r="E63" s="41"/>
      <c r="G63" s="42"/>
      <c r="H63" s="42"/>
      <c r="I63" s="42"/>
      <c r="J63" s="42"/>
      <c r="K63" s="42"/>
      <c r="L63" s="42"/>
      <c r="M63" s="42"/>
    </row>
    <row r="64" hidden="1">
      <c r="A64" s="48">
        <v>45528.0</v>
      </c>
      <c r="B64" s="40" t="s">
        <v>15</v>
      </c>
      <c r="C64" s="41">
        <v>270.0</v>
      </c>
      <c r="D64" s="41" t="s">
        <v>733</v>
      </c>
      <c r="E64" s="41"/>
      <c r="G64" s="42"/>
      <c r="H64" s="42"/>
      <c r="I64" s="42"/>
      <c r="J64" s="42"/>
      <c r="K64" s="42"/>
      <c r="L64" s="42"/>
      <c r="M64" s="42"/>
    </row>
    <row r="65" hidden="1">
      <c r="A65" s="44">
        <v>45528.0</v>
      </c>
      <c r="B65" s="40" t="s">
        <v>19</v>
      </c>
      <c r="C65" s="93">
        <v>270.0</v>
      </c>
      <c r="D65" s="41" t="s">
        <v>734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45535.0</v>
      </c>
      <c r="B66" s="40" t="s">
        <v>17</v>
      </c>
      <c r="C66" s="41">
        <v>114.0</v>
      </c>
      <c r="D66" s="41" t="s">
        <v>735</v>
      </c>
      <c r="E66" s="41"/>
      <c r="G66" s="42"/>
      <c r="H66" s="42"/>
      <c r="I66" s="42"/>
      <c r="J66" s="42"/>
      <c r="K66" s="42"/>
      <c r="L66" s="42"/>
      <c r="M66" s="42"/>
    </row>
    <row r="67" hidden="1">
      <c r="A67" s="44">
        <v>45520.0</v>
      </c>
      <c r="B67" s="40" t="s">
        <v>15</v>
      </c>
      <c r="C67" s="41">
        <v>45.19</v>
      </c>
      <c r="D67" s="41" t="s">
        <v>736</v>
      </c>
      <c r="E67" s="41"/>
      <c r="G67" s="42"/>
      <c r="H67" s="42"/>
      <c r="I67" s="42"/>
      <c r="J67" s="42"/>
      <c r="K67" s="42"/>
      <c r="L67" s="42"/>
      <c r="M67" s="42"/>
    </row>
    <row r="68" hidden="1">
      <c r="A68" s="44">
        <v>45522.0</v>
      </c>
      <c r="B68" s="40" t="s">
        <v>25</v>
      </c>
      <c r="C68" s="41">
        <v>80.0</v>
      </c>
      <c r="D68" s="41" t="s">
        <v>737</v>
      </c>
      <c r="E68" s="41"/>
      <c r="G68" s="42"/>
      <c r="H68" s="42"/>
      <c r="I68" s="42"/>
      <c r="J68" s="42"/>
      <c r="K68" s="42"/>
      <c r="L68" s="42"/>
      <c r="M68" s="42"/>
    </row>
    <row r="69" hidden="1">
      <c r="A69" s="44">
        <v>45523.0</v>
      </c>
      <c r="B69" s="40" t="s">
        <v>14</v>
      </c>
      <c r="C69" s="41">
        <v>73.0</v>
      </c>
      <c r="D69" s="41" t="s">
        <v>507</v>
      </c>
      <c r="E69" s="41"/>
      <c r="F69" s="19" t="s">
        <v>632</v>
      </c>
      <c r="G69" s="99">
        <v>36.3</v>
      </c>
      <c r="H69" s="42"/>
      <c r="I69" s="42"/>
      <c r="J69" s="42"/>
      <c r="K69" s="42"/>
      <c r="L69" s="42"/>
      <c r="M69" s="42"/>
    </row>
    <row r="70" hidden="1">
      <c r="A70" s="44">
        <v>45535.0</v>
      </c>
      <c r="B70" s="40" t="s">
        <v>15</v>
      </c>
      <c r="C70" s="41">
        <v>117.0</v>
      </c>
      <c r="D70" s="41" t="s">
        <v>738</v>
      </c>
      <c r="E70" s="41"/>
      <c r="G70" s="42"/>
      <c r="H70" s="42"/>
      <c r="I70" s="42"/>
      <c r="J70" s="42"/>
      <c r="K70" s="42"/>
      <c r="L70" s="42"/>
      <c r="M70" s="42"/>
    </row>
    <row r="71" hidden="1">
      <c r="A71" s="44">
        <v>45535.0</v>
      </c>
      <c r="B71" s="40" t="s">
        <v>14</v>
      </c>
      <c r="C71" s="41">
        <v>56.0</v>
      </c>
      <c r="D71" s="41" t="s">
        <v>142</v>
      </c>
      <c r="E71" s="41"/>
      <c r="G71" s="42"/>
      <c r="H71" s="42"/>
      <c r="I71" s="42"/>
      <c r="J71" s="42"/>
      <c r="K71" s="42"/>
      <c r="L71" s="42"/>
      <c r="M71" s="42"/>
    </row>
    <row r="72" hidden="1">
      <c r="A72" s="44">
        <v>45528.0</v>
      </c>
      <c r="B72" s="40" t="s">
        <v>14</v>
      </c>
      <c r="C72" s="41">
        <v>26.65</v>
      </c>
      <c r="D72" s="41" t="s">
        <v>739</v>
      </c>
      <c r="E72" s="41"/>
      <c r="G72" s="42"/>
      <c r="H72" s="42"/>
      <c r="I72" s="42"/>
      <c r="J72" s="42"/>
      <c r="K72" s="42"/>
      <c r="L72" s="42"/>
      <c r="M72" s="42"/>
    </row>
    <row r="73" hidden="1">
      <c r="A73" s="44">
        <v>45529.0</v>
      </c>
      <c r="B73" s="40" t="s">
        <v>25</v>
      </c>
      <c r="C73" s="41">
        <v>25.99</v>
      </c>
      <c r="D73" s="41" t="s">
        <v>740</v>
      </c>
      <c r="E73" s="41"/>
      <c r="G73" s="42"/>
      <c r="H73" s="42"/>
      <c r="I73" s="42"/>
      <c r="J73" s="42"/>
      <c r="K73" s="42"/>
      <c r="L73" s="42"/>
      <c r="M73" s="42"/>
    </row>
    <row r="74" hidden="1">
      <c r="A74" s="44">
        <v>45529.0</v>
      </c>
      <c r="B74" s="40" t="s">
        <v>24</v>
      </c>
      <c r="C74" s="41">
        <v>108.0</v>
      </c>
      <c r="D74" s="41" t="s">
        <v>741</v>
      </c>
      <c r="E74" s="41"/>
      <c r="G74" s="42"/>
      <c r="H74" s="42"/>
      <c r="I74" s="42"/>
      <c r="J74" s="42"/>
      <c r="K74" s="42"/>
      <c r="L74" s="42"/>
      <c r="M74" s="42"/>
    </row>
    <row r="75">
      <c r="A75" s="44">
        <v>45529.0</v>
      </c>
      <c r="B75" s="40" t="s">
        <v>17</v>
      </c>
      <c r="C75" s="41">
        <v>260.35</v>
      </c>
      <c r="D75" s="41" t="s">
        <v>742</v>
      </c>
      <c r="E75" s="41"/>
      <c r="G75" s="42"/>
      <c r="H75" s="42"/>
      <c r="I75" s="42"/>
      <c r="J75" s="42"/>
      <c r="K75" s="42"/>
      <c r="L75" s="42"/>
      <c r="M75" s="42"/>
    </row>
    <row r="76" hidden="1">
      <c r="A76" s="44">
        <v>45535.0</v>
      </c>
      <c r="B76" s="40"/>
      <c r="C76" s="41">
        <v>10.0</v>
      </c>
      <c r="D76" s="41" t="s">
        <v>743</v>
      </c>
      <c r="E76" s="41"/>
      <c r="G76" s="42"/>
      <c r="H76" s="42"/>
      <c r="I76" s="42"/>
      <c r="J76" s="42"/>
      <c r="K76" s="42"/>
      <c r="L76" s="42"/>
      <c r="M76" s="42"/>
    </row>
    <row r="77">
      <c r="A77" s="44">
        <v>45521.0</v>
      </c>
      <c r="B77" s="40" t="s">
        <v>17</v>
      </c>
      <c r="C77" s="41">
        <v>29.39</v>
      </c>
      <c r="D77" s="41" t="s">
        <v>744</v>
      </c>
      <c r="E77" s="41"/>
      <c r="G77" s="42"/>
      <c r="H77" s="42"/>
      <c r="I77" s="42"/>
      <c r="J77" s="42"/>
      <c r="K77" s="42"/>
      <c r="L77" s="42"/>
      <c r="M77" s="42"/>
    </row>
    <row r="78" hidden="1">
      <c r="A78" s="80">
        <v>45517.0</v>
      </c>
      <c r="B78" s="40"/>
      <c r="C78" s="41">
        <v>8.65</v>
      </c>
      <c r="D78" s="41"/>
      <c r="E78" s="41"/>
      <c r="G78" s="42"/>
      <c r="H78" s="42"/>
      <c r="I78" s="42"/>
      <c r="J78" s="42"/>
      <c r="K78" s="42"/>
      <c r="L78" s="42"/>
      <c r="M78" s="42"/>
    </row>
    <row r="79" hidden="1">
      <c r="A79" s="44">
        <v>45523.0</v>
      </c>
      <c r="B79" s="40" t="s">
        <v>15</v>
      </c>
      <c r="C79" s="41">
        <f>127+473+244</f>
        <v>844</v>
      </c>
      <c r="D79" s="41" t="s">
        <v>47</v>
      </c>
      <c r="E79" s="41"/>
      <c r="G79" s="42"/>
      <c r="H79" s="42"/>
      <c r="I79" s="42"/>
      <c r="J79" s="42"/>
      <c r="K79" s="42"/>
      <c r="L79" s="42"/>
      <c r="M79" s="42"/>
    </row>
    <row r="80" hidden="1">
      <c r="A80" s="44">
        <v>45532.0</v>
      </c>
      <c r="B80" s="40" t="s">
        <v>25</v>
      </c>
      <c r="C80" s="41">
        <v>53.92</v>
      </c>
      <c r="D80" s="41" t="s">
        <v>745</v>
      </c>
      <c r="E80" s="41"/>
      <c r="G80" s="42"/>
      <c r="H80" s="42"/>
      <c r="I80" s="42"/>
      <c r="J80" s="42"/>
      <c r="K80" s="42"/>
      <c r="L80" s="42"/>
      <c r="M80" s="42"/>
    </row>
    <row r="81">
      <c r="A81" s="44">
        <v>45532.0</v>
      </c>
      <c r="B81" s="40" t="s">
        <v>17</v>
      </c>
      <c r="C81" s="101">
        <f>148/7</f>
        <v>21.14285714</v>
      </c>
      <c r="D81" s="41" t="s">
        <v>746</v>
      </c>
      <c r="E81" s="41" t="s">
        <v>729</v>
      </c>
      <c r="G81" s="42"/>
      <c r="H81" s="42"/>
      <c r="I81" s="42"/>
      <c r="J81" s="42"/>
      <c r="K81" s="42"/>
      <c r="L81" s="42"/>
      <c r="M81" s="42"/>
    </row>
    <row r="82" hidden="1">
      <c r="A82" s="44">
        <v>45533.0</v>
      </c>
      <c r="B82" s="40" t="s">
        <v>25</v>
      </c>
      <c r="C82" s="41">
        <v>25.0</v>
      </c>
      <c r="D82" s="41" t="s">
        <v>747</v>
      </c>
      <c r="E82" s="41"/>
      <c r="G82" s="42"/>
      <c r="H82" s="42"/>
      <c r="I82" s="42"/>
      <c r="J82" s="42"/>
      <c r="K82" s="42"/>
      <c r="L82" s="42"/>
      <c r="M82" s="42"/>
    </row>
    <row r="83" hidden="1">
      <c r="A83" s="44">
        <v>45535.0</v>
      </c>
      <c r="B83" s="40" t="s">
        <v>25</v>
      </c>
      <c r="C83" s="41">
        <f>32.66+16.33+19.6</f>
        <v>68.59</v>
      </c>
      <c r="D83" s="41" t="s">
        <v>748</v>
      </c>
      <c r="E83" s="41"/>
      <c r="G83" s="42"/>
      <c r="H83" s="42"/>
      <c r="I83" s="42"/>
      <c r="J83" s="42"/>
      <c r="K83" s="42"/>
      <c r="L83" s="42"/>
      <c r="M83" s="42"/>
    </row>
    <row r="84" hidden="1">
      <c r="A84" s="44">
        <v>45535.0</v>
      </c>
      <c r="B84" s="40" t="s">
        <v>15</v>
      </c>
      <c r="C84" s="41">
        <v>1041.0</v>
      </c>
      <c r="D84" s="41" t="s">
        <v>47</v>
      </c>
      <c r="E84" s="41"/>
      <c r="G84" s="42"/>
      <c r="H84" s="42"/>
      <c r="I84" s="42"/>
      <c r="J84" s="42"/>
      <c r="K84" s="42"/>
      <c r="L84" s="42"/>
      <c r="M84" s="42"/>
    </row>
    <row r="85" hidden="1">
      <c r="A85" s="44">
        <v>45535.0</v>
      </c>
      <c r="B85" s="40" t="s">
        <v>15</v>
      </c>
      <c r="C85" s="41">
        <v>-1362.0</v>
      </c>
      <c r="D85" s="41" t="s">
        <v>749</v>
      </c>
      <c r="E85" s="41"/>
      <c r="G85" s="42"/>
      <c r="H85" s="42"/>
      <c r="I85" s="42"/>
      <c r="J85" s="42"/>
      <c r="K85" s="42"/>
      <c r="L85" s="42"/>
      <c r="M85" s="42"/>
    </row>
    <row r="86" hidden="1">
      <c r="A86" s="44"/>
      <c r="B86" s="40"/>
      <c r="C86" s="41"/>
      <c r="D86" s="41"/>
      <c r="E86" s="41"/>
      <c r="G86" s="42"/>
      <c r="H86" s="42"/>
      <c r="I86" s="42"/>
      <c r="J86" s="42"/>
      <c r="K86" s="42"/>
      <c r="L86" s="42"/>
      <c r="M86" s="42"/>
    </row>
    <row r="87" hidden="1">
      <c r="A87" s="44"/>
      <c r="B87" s="40"/>
      <c r="C87" s="41"/>
      <c r="D87" s="41"/>
      <c r="E87" s="41"/>
      <c r="G87" s="42"/>
      <c r="H87" s="42"/>
      <c r="I87" s="42"/>
      <c r="J87" s="42"/>
      <c r="K87" s="42"/>
      <c r="L87" s="42"/>
      <c r="M87" s="42"/>
    </row>
    <row r="88" hidden="1">
      <c r="A88" s="44"/>
      <c r="B88" s="40"/>
      <c r="C88" s="41"/>
      <c r="D88" s="41"/>
      <c r="E88" s="41"/>
      <c r="G88" s="42"/>
      <c r="H88" s="42"/>
      <c r="I88" s="42"/>
      <c r="J88" s="42"/>
      <c r="K88" s="42"/>
      <c r="L88" s="42"/>
      <c r="M88" s="42"/>
    </row>
    <row r="89" hidden="1">
      <c r="A89" s="44"/>
      <c r="B89" s="40"/>
      <c r="C89" s="41"/>
      <c r="D89" s="41"/>
      <c r="E89" s="41"/>
      <c r="G89" s="42"/>
      <c r="H89" s="42"/>
      <c r="I89" s="42"/>
      <c r="J89" s="42"/>
      <c r="K89" s="42"/>
      <c r="L89" s="42"/>
      <c r="M89" s="42"/>
    </row>
    <row r="90" hidden="1">
      <c r="A90" s="44"/>
      <c r="B90" s="40"/>
      <c r="C90" s="41"/>
      <c r="D90" s="41"/>
      <c r="E90" s="41"/>
      <c r="G90" s="42"/>
      <c r="H90" s="42"/>
      <c r="I90" s="42"/>
      <c r="J90" s="42"/>
      <c r="K90" s="42"/>
      <c r="L90" s="42"/>
      <c r="M90" s="42"/>
    </row>
    <row r="91" hidden="1">
      <c r="A91" s="44"/>
      <c r="B91" s="40"/>
      <c r="C91" s="41"/>
      <c r="D91" s="41"/>
      <c r="E91" s="41"/>
      <c r="G91" s="42"/>
      <c r="H91" s="42"/>
      <c r="I91" s="42"/>
      <c r="J91" s="42"/>
      <c r="K91" s="42"/>
      <c r="L91" s="42"/>
      <c r="M91" s="42"/>
    </row>
    <row r="92" hidden="1">
      <c r="A92" s="44"/>
      <c r="B92" s="40"/>
      <c r="C92" s="41"/>
      <c r="D92" s="41"/>
      <c r="E92" s="41"/>
      <c r="G92" s="42"/>
      <c r="H92" s="42"/>
      <c r="I92" s="42"/>
      <c r="J92" s="42"/>
      <c r="K92" s="42"/>
      <c r="L92" s="42"/>
      <c r="M92" s="42"/>
    </row>
    <row r="93" hidden="1">
      <c r="A93" s="44"/>
      <c r="B93" s="40"/>
      <c r="C93" s="41"/>
      <c r="D93" s="41"/>
      <c r="E93" s="41"/>
      <c r="G93" s="42"/>
      <c r="H93" s="42"/>
      <c r="I93" s="42"/>
      <c r="J93" s="42"/>
      <c r="K93" s="42"/>
      <c r="L93" s="42"/>
      <c r="M93" s="42"/>
    </row>
    <row r="94">
      <c r="A94" s="44"/>
      <c r="B94" s="40"/>
      <c r="C94" s="41"/>
      <c r="D94" s="41"/>
      <c r="E94" s="41"/>
      <c r="G94" s="42"/>
      <c r="H94" s="42"/>
      <c r="I94" s="42"/>
      <c r="J94" s="42"/>
      <c r="K94" s="42"/>
      <c r="L94" s="42"/>
      <c r="M94" s="42"/>
    </row>
    <row r="95">
      <c r="A95" s="44"/>
      <c r="B95" s="40"/>
      <c r="C95" s="41"/>
      <c r="D95" s="41"/>
      <c r="E95" s="41"/>
      <c r="G95" s="42"/>
      <c r="H95" s="42"/>
      <c r="I95" s="42"/>
      <c r="J95" s="42"/>
      <c r="K95" s="42"/>
      <c r="L95" s="42"/>
      <c r="M95" s="42"/>
    </row>
    <row r="96">
      <c r="A96" s="44"/>
      <c r="B96" s="40"/>
      <c r="C96" s="41"/>
      <c r="D96" s="41"/>
      <c r="E96" s="41"/>
      <c r="G96" s="42"/>
      <c r="H96" s="42"/>
      <c r="I96" s="42"/>
      <c r="J96" s="42"/>
      <c r="K96" s="42"/>
      <c r="L96" s="42"/>
      <c r="M96" s="42"/>
    </row>
    <row r="97">
      <c r="A97" s="44"/>
      <c r="B97" s="40"/>
      <c r="C97" s="41"/>
      <c r="D97" s="41"/>
      <c r="E97" s="41"/>
      <c r="G97" s="42"/>
      <c r="H97" s="42"/>
      <c r="I97" s="42"/>
      <c r="J97" s="42"/>
      <c r="K97" s="42"/>
      <c r="L97" s="42"/>
      <c r="M97" s="42"/>
    </row>
    <row r="98">
      <c r="A98" s="44"/>
      <c r="B98" s="40"/>
      <c r="C98" s="41"/>
      <c r="D98" s="41"/>
      <c r="E98" s="41"/>
      <c r="G98" s="42"/>
      <c r="H98" s="42"/>
      <c r="I98" s="42"/>
      <c r="J98" s="42"/>
      <c r="K98" s="42"/>
      <c r="L98" s="42"/>
      <c r="M98" s="42"/>
    </row>
    <row r="99">
      <c r="A99" s="44"/>
      <c r="B99" s="40"/>
      <c r="C99" s="41"/>
      <c r="D99" s="41"/>
      <c r="E99" s="41"/>
      <c r="G99" s="42"/>
      <c r="H99" s="42"/>
      <c r="I99" s="42"/>
      <c r="J99" s="42"/>
      <c r="K99" s="42"/>
      <c r="L99" s="42"/>
      <c r="M99" s="42"/>
    </row>
    <row r="100">
      <c r="A100" s="44"/>
      <c r="B100" s="40"/>
      <c r="C100" s="41"/>
      <c r="D100" s="41"/>
      <c r="E100" s="41"/>
      <c r="G100" s="42"/>
      <c r="H100" s="42"/>
      <c r="I100" s="42"/>
      <c r="J100" s="42"/>
      <c r="K100" s="42"/>
      <c r="L100" s="42"/>
      <c r="M100" s="42"/>
    </row>
    <row r="101">
      <c r="A101" s="44"/>
      <c r="B101" s="40"/>
      <c r="C101" s="41"/>
      <c r="D101" s="41"/>
      <c r="E101" s="41"/>
      <c r="G101" s="42"/>
      <c r="H101" s="42"/>
      <c r="I101" s="42"/>
      <c r="J101" s="42"/>
      <c r="K101" s="42"/>
      <c r="L101" s="42"/>
      <c r="M101" s="42"/>
    </row>
  </sheetData>
  <autoFilter ref="$A$33:$D$93">
    <filterColumn colId="1">
      <filters>
        <filter val="Eating out"/>
      </filters>
    </filterColumn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101">
      <formula1>'Hidden list and Figures'!$A$3:$A$15</formula1>
    </dataValidation>
    <dataValidation type="custom" allowBlank="1" showDropDown="1" showInputMessage="1" prompt="Select a date" sqref="A34:A101">
      <formula1>OR(NOT(ISERROR(DATEVALUE(A34))), AND(ISNUMBER(A34), LEFT(CELL("format", A34))="D"))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1" si="1">sumif($B$20:$C$102,A6,$C$20:$C$102)</f>
        <v>4747.026667</v>
      </c>
      <c r="D6" s="17">
        <f t="shared" ref="D6:D16" si="2">B6-C6</f>
        <v>-2083.346667</v>
      </c>
      <c r="E6" s="18">
        <f t="shared" ref="E6:E17" si="3">D6/B6</f>
        <v>-0.7821309867</v>
      </c>
      <c r="G6" s="19" t="s">
        <v>11</v>
      </c>
      <c r="H6" s="96">
        <v>5000.0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4200.0</v>
      </c>
    </row>
    <row r="8">
      <c r="A8" s="21" t="s">
        <v>14</v>
      </c>
      <c r="B8" s="22">
        <v>250.0</v>
      </c>
      <c r="C8" s="22">
        <f t="shared" si="1"/>
        <v>11</v>
      </c>
      <c r="D8" s="23">
        <f t="shared" si="2"/>
        <v>239</v>
      </c>
      <c r="E8" s="18">
        <f t="shared" si="3"/>
        <v>0.956</v>
      </c>
      <c r="G8" s="64" t="s">
        <v>27</v>
      </c>
      <c r="H8" s="92">
        <f>SUM(H6:H7)</f>
        <v>9200</v>
      </c>
    </row>
    <row r="9">
      <c r="A9" s="24" t="s">
        <v>15</v>
      </c>
      <c r="B9" s="22">
        <v>400.0</v>
      </c>
      <c r="C9" s="22">
        <f t="shared" si="1"/>
        <v>1281.1</v>
      </c>
      <c r="D9" s="23">
        <f t="shared" si="2"/>
        <v>-881.1</v>
      </c>
      <c r="E9" s="18">
        <f t="shared" si="3"/>
        <v>-2.20275</v>
      </c>
    </row>
    <row r="10">
      <c r="A10" s="24" t="s">
        <v>17</v>
      </c>
      <c r="B10" s="22">
        <v>400.0</v>
      </c>
      <c r="C10" s="22">
        <f t="shared" si="1"/>
        <v>673.3</v>
      </c>
      <c r="D10" s="23">
        <f t="shared" si="2"/>
        <v>-273.3</v>
      </c>
      <c r="E10" s="18">
        <f t="shared" si="3"/>
        <v>-0.68325</v>
      </c>
      <c r="G10" s="13" t="s">
        <v>16</v>
      </c>
      <c r="H10" s="14"/>
    </row>
    <row r="11">
      <c r="A11" s="22" t="s">
        <v>19</v>
      </c>
      <c r="B11" s="22">
        <v>200.0</v>
      </c>
      <c r="C11" s="22">
        <f t="shared" si="1"/>
        <v>166.77</v>
      </c>
      <c r="D11" s="23">
        <f t="shared" si="2"/>
        <v>33.23</v>
      </c>
      <c r="E11" s="18">
        <f t="shared" si="3"/>
        <v>0.16615</v>
      </c>
      <c r="G11" s="19" t="s">
        <v>18</v>
      </c>
      <c r="H11" s="14">
        <f>sum(C17)</f>
        <v>8077.706667</v>
      </c>
    </row>
    <row r="12">
      <c r="A12" s="24" t="s">
        <v>79</v>
      </c>
      <c r="B12" s="22">
        <v>500.0</v>
      </c>
      <c r="C12" s="22">
        <v>500.0</v>
      </c>
      <c r="D12" s="23">
        <f t="shared" si="2"/>
        <v>0</v>
      </c>
      <c r="E12" s="18">
        <f t="shared" si="3"/>
        <v>0</v>
      </c>
      <c r="H12" s="14"/>
    </row>
    <row r="13">
      <c r="A13" s="25" t="s">
        <v>22</v>
      </c>
      <c r="B13" s="22">
        <v>200.0</v>
      </c>
      <c r="C13" s="22">
        <f t="shared" ref="C13:C16" si="4">sumif($B$20:$C$102,A13,$C$20:$C$102)</f>
        <v>0</v>
      </c>
      <c r="D13" s="23">
        <f t="shared" si="2"/>
        <v>200</v>
      </c>
      <c r="E13" s="18">
        <f t="shared" si="3"/>
        <v>1</v>
      </c>
      <c r="G13" s="13" t="s">
        <v>21</v>
      </c>
      <c r="H13" s="14"/>
    </row>
    <row r="14">
      <c r="A14" s="26" t="s">
        <v>24</v>
      </c>
      <c r="B14" s="27">
        <v>0.0</v>
      </c>
      <c r="C14" s="22">
        <f t="shared" si="4"/>
        <v>93.55</v>
      </c>
      <c r="D14" s="23">
        <f t="shared" si="2"/>
        <v>-93.55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27">
        <f t="shared" si="4"/>
        <v>319.96</v>
      </c>
      <c r="D15" s="28">
        <f t="shared" si="2"/>
        <v>-19.96</v>
      </c>
      <c r="E15" s="18">
        <f t="shared" si="3"/>
        <v>-0.06653333333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22">
        <f t="shared" si="4"/>
        <v>285</v>
      </c>
      <c r="D16" s="28">
        <f t="shared" si="2"/>
        <v>-285</v>
      </c>
      <c r="E16" s="18" t="str">
        <f t="shared" si="3"/>
        <v>#DIV/0!</v>
      </c>
      <c r="F16" s="32"/>
      <c r="G16" s="13" t="s">
        <v>26</v>
      </c>
      <c r="H16" s="47">
        <f>SUMIF($B$20:$C$174,"Travel",$C$20:$C$174)</f>
        <v>556.98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5">SUM(B6:B16)</f>
        <v>4913.68</v>
      </c>
      <c r="C17" s="31">
        <f t="shared" si="5"/>
        <v>8077.706667</v>
      </c>
      <c r="D17" s="31">
        <f>SUM(D6:D15)</f>
        <v>-2879.026667</v>
      </c>
      <c r="E17" s="18">
        <f t="shared" si="3"/>
        <v>-0.5859206677</v>
      </c>
      <c r="F17" s="36"/>
      <c r="G17" s="13" t="s">
        <v>28</v>
      </c>
      <c r="H17" s="33">
        <f>500-SUMIF($B$20:$C$174,"Travel",$C$20:$C$174)+'April 2024'!H17</f>
        <v>446.26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f>2900+1476</f>
        <v>4376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40.0</v>
      </c>
      <c r="D21" s="95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40.0</v>
      </c>
      <c r="D22" s="95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42.62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41">
        <v>16.55</v>
      </c>
      <c r="D24" s="95" t="s">
        <v>22</v>
      </c>
      <c r="E24" s="41"/>
      <c r="G24" s="19" t="s">
        <v>750</v>
      </c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77/12</f>
        <v>6.416666667</v>
      </c>
      <c r="D25" s="41" t="s">
        <v>529</v>
      </c>
      <c r="E25" s="41"/>
      <c r="F25" s="19" t="s">
        <v>751</v>
      </c>
      <c r="G25" s="42">
        <f>8.62+3758.03</f>
        <v>3766.65</v>
      </c>
      <c r="H25" s="40" t="s">
        <v>752</v>
      </c>
      <c r="I25" s="42"/>
      <c r="J25" s="40"/>
      <c r="K25" s="42"/>
      <c r="L25" s="42"/>
      <c r="M25" s="42"/>
    </row>
    <row r="26">
      <c r="A26" s="40" t="s">
        <v>32</v>
      </c>
      <c r="B26" s="40" t="s">
        <v>10</v>
      </c>
      <c r="C26" s="102">
        <f>585/6</f>
        <v>97.5</v>
      </c>
      <c r="D26" s="41" t="s">
        <v>23</v>
      </c>
      <c r="E26" s="41"/>
      <c r="F26" s="19" t="s">
        <v>753</v>
      </c>
      <c r="G26" s="40">
        <v>0.0</v>
      </c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2.87</v>
      </c>
      <c r="D27" s="41" t="s">
        <v>39</v>
      </c>
      <c r="E27" s="41"/>
      <c r="F27" s="19" t="s">
        <v>754</v>
      </c>
      <c r="G27" s="40">
        <v>965.33</v>
      </c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2.99</v>
      </c>
      <c r="D28" s="41" t="s">
        <v>40</v>
      </c>
      <c r="E28" s="41"/>
      <c r="F28" s="19" t="s">
        <v>755</v>
      </c>
      <c r="G28" s="42">
        <f>274.97+19.17+184.41+1077.59+1829.28</f>
        <v>3385.42</v>
      </c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5.83</v>
      </c>
      <c r="D29" s="41" t="s">
        <v>41</v>
      </c>
      <c r="E29" s="41"/>
      <c r="F29" s="19" t="s">
        <v>756</v>
      </c>
      <c r="G29" s="42">
        <f>27.87</f>
        <v>27.87</v>
      </c>
      <c r="H29" s="40" t="s">
        <v>757</v>
      </c>
      <c r="I29" s="42"/>
      <c r="J29" s="42"/>
      <c r="K29" s="42"/>
      <c r="L29" s="42"/>
      <c r="M29" s="42"/>
    </row>
    <row r="30">
      <c r="A30" s="40" t="s">
        <v>32</v>
      </c>
      <c r="B30" s="40" t="s">
        <v>10</v>
      </c>
      <c r="C30" s="41">
        <v>6.25</v>
      </c>
      <c r="D30" s="41" t="s">
        <v>488</v>
      </c>
      <c r="E30" s="41"/>
      <c r="F30" s="19" t="s">
        <v>758</v>
      </c>
      <c r="G30" s="40">
        <v>1388.4</v>
      </c>
      <c r="H30" s="42"/>
      <c r="I30" s="42"/>
      <c r="J30" s="42"/>
      <c r="K30" s="42"/>
      <c r="L30" s="42"/>
      <c r="M30" s="42"/>
    </row>
    <row r="31">
      <c r="A31" s="40" t="s">
        <v>32</v>
      </c>
      <c r="B31" s="40" t="s">
        <v>10</v>
      </c>
      <c r="C31" s="41">
        <v>110.0</v>
      </c>
      <c r="D31" s="41" t="s">
        <v>42</v>
      </c>
      <c r="E31" s="41"/>
      <c r="F31" s="19" t="s">
        <v>759</v>
      </c>
      <c r="G31" s="42">
        <f>SUM(G25:G30)</f>
        <v>9533.67</v>
      </c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F32" s="19" t="s">
        <v>33</v>
      </c>
      <c r="G32" s="40">
        <v>2900.0</v>
      </c>
      <c r="H32" s="42"/>
      <c r="I32" s="42"/>
      <c r="J32" s="42"/>
      <c r="K32" s="42"/>
      <c r="L32" s="42"/>
      <c r="M32" s="42"/>
    </row>
    <row r="33">
      <c r="A33" s="44"/>
      <c r="B33" s="40"/>
      <c r="C33" s="41"/>
      <c r="D33" s="41"/>
      <c r="E33" s="41"/>
      <c r="G33" s="40">
        <v>8000.0</v>
      </c>
      <c r="H33" s="42"/>
      <c r="I33" s="42"/>
      <c r="J33" s="42"/>
      <c r="K33" s="42"/>
      <c r="L33" s="42"/>
      <c r="M33" s="42"/>
    </row>
    <row r="34">
      <c r="A34" s="44">
        <v>45555.0</v>
      </c>
      <c r="B34" s="40" t="s">
        <v>17</v>
      </c>
      <c r="C34" s="41">
        <v>42.44</v>
      </c>
      <c r="D34" s="41" t="s">
        <v>760</v>
      </c>
      <c r="E34" s="19" t="s">
        <v>729</v>
      </c>
      <c r="G34" s="42"/>
      <c r="H34" s="42"/>
      <c r="I34" s="42"/>
      <c r="J34" s="42"/>
      <c r="K34" s="42"/>
      <c r="L34" s="42"/>
      <c r="M34" s="42"/>
    </row>
    <row r="35">
      <c r="A35" s="44">
        <v>45537.0</v>
      </c>
      <c r="B35" s="40" t="s">
        <v>25</v>
      </c>
      <c r="C35" s="41">
        <v>25.0</v>
      </c>
      <c r="D35" s="41" t="s">
        <v>761</v>
      </c>
      <c r="G35" s="42"/>
      <c r="H35" s="42"/>
      <c r="I35" s="42"/>
      <c r="J35" s="42"/>
      <c r="K35" s="42"/>
      <c r="L35" s="42"/>
      <c r="M35" s="42"/>
    </row>
    <row r="36">
      <c r="A36" s="44">
        <v>45544.0</v>
      </c>
      <c r="B36" s="40" t="s">
        <v>25</v>
      </c>
      <c r="C36" s="41">
        <v>16.0</v>
      </c>
      <c r="D36" s="41" t="s">
        <v>762</v>
      </c>
      <c r="G36" s="42"/>
      <c r="H36" s="42"/>
      <c r="I36" s="42"/>
      <c r="J36" s="42"/>
      <c r="K36" s="42"/>
      <c r="L36" s="42"/>
      <c r="M36" s="42"/>
    </row>
    <row r="37">
      <c r="A37" s="44">
        <v>45538.0</v>
      </c>
      <c r="B37" s="40" t="s">
        <v>19</v>
      </c>
      <c r="C37" s="98">
        <v>130.0</v>
      </c>
      <c r="D37" s="98" t="s">
        <v>83</v>
      </c>
      <c r="G37" s="42"/>
      <c r="H37" s="42"/>
      <c r="I37" s="42"/>
      <c r="J37" s="42"/>
      <c r="K37" s="42"/>
      <c r="L37" s="42"/>
      <c r="M37" s="42"/>
    </row>
    <row r="38">
      <c r="A38" s="44">
        <v>45541.0</v>
      </c>
      <c r="B38" s="40" t="s">
        <v>19</v>
      </c>
      <c r="C38" s="93">
        <v>5.0</v>
      </c>
      <c r="D38" s="93" t="s">
        <v>763</v>
      </c>
      <c r="G38" s="42"/>
      <c r="H38" s="42"/>
      <c r="I38" s="42"/>
      <c r="J38" s="42"/>
      <c r="K38" s="42"/>
      <c r="L38" s="42"/>
      <c r="M38" s="42"/>
    </row>
    <row r="39">
      <c r="A39" s="44">
        <v>45540.0</v>
      </c>
      <c r="B39" s="40" t="s">
        <v>17</v>
      </c>
      <c r="C39" s="93">
        <f>10.11*2</f>
        <v>20.22</v>
      </c>
      <c r="D39" s="93" t="s">
        <v>374</v>
      </c>
      <c r="G39" s="42"/>
      <c r="H39" s="42"/>
      <c r="I39" s="42"/>
      <c r="J39" s="42"/>
      <c r="K39" s="42"/>
      <c r="L39" s="42"/>
      <c r="M39" s="42"/>
    </row>
    <row r="40">
      <c r="A40" s="44">
        <v>45540.0</v>
      </c>
      <c r="B40" s="40" t="s">
        <v>24</v>
      </c>
      <c r="C40" s="93">
        <v>5.88</v>
      </c>
      <c r="D40" s="93" t="s">
        <v>764</v>
      </c>
      <c r="G40" s="42"/>
      <c r="H40" s="42"/>
      <c r="I40" s="42"/>
      <c r="J40" s="42"/>
      <c r="K40" s="42"/>
      <c r="L40" s="42"/>
      <c r="M40" s="42"/>
    </row>
    <row r="41">
      <c r="A41" s="44">
        <v>45540.0</v>
      </c>
      <c r="B41" s="40" t="s">
        <v>25</v>
      </c>
      <c r="C41" s="93">
        <v>4.5</v>
      </c>
      <c r="D41" s="93" t="s">
        <v>765</v>
      </c>
      <c r="G41" s="42"/>
      <c r="H41" s="42"/>
      <c r="I41" s="42"/>
      <c r="J41" s="42"/>
      <c r="K41" s="42"/>
      <c r="L41" s="42"/>
      <c r="M41" s="42"/>
    </row>
    <row r="42">
      <c r="A42" s="44">
        <v>45540.0</v>
      </c>
      <c r="B42" s="40" t="s">
        <v>17</v>
      </c>
      <c r="C42" s="93">
        <v>15.3</v>
      </c>
      <c r="D42" s="93" t="s">
        <v>766</v>
      </c>
      <c r="G42" s="42"/>
      <c r="H42" s="42"/>
      <c r="I42" s="42"/>
      <c r="J42" s="42"/>
      <c r="K42" s="42"/>
      <c r="L42" s="42"/>
      <c r="M42" s="42"/>
    </row>
    <row r="43">
      <c r="A43" s="44">
        <v>45540.0</v>
      </c>
      <c r="B43" s="40" t="s">
        <v>25</v>
      </c>
      <c r="C43" s="93">
        <v>4.87</v>
      </c>
      <c r="D43" s="93" t="s">
        <v>767</v>
      </c>
      <c r="G43" s="42"/>
      <c r="H43" s="42"/>
      <c r="I43" s="42"/>
      <c r="J43" s="42"/>
      <c r="K43" s="42"/>
      <c r="L43" s="42"/>
      <c r="M43" s="42"/>
    </row>
    <row r="44">
      <c r="A44" s="44">
        <v>45539.0</v>
      </c>
      <c r="B44" s="40" t="s">
        <v>25</v>
      </c>
      <c r="C44" s="93">
        <v>30.92</v>
      </c>
      <c r="D44" s="93" t="s">
        <v>768</v>
      </c>
      <c r="G44" s="42"/>
      <c r="H44" s="42"/>
      <c r="I44" s="42"/>
      <c r="J44" s="42"/>
      <c r="K44" s="42"/>
      <c r="L44" s="42"/>
      <c r="M44" s="42"/>
    </row>
    <row r="45">
      <c r="A45" s="44">
        <v>45536.0</v>
      </c>
      <c r="B45" s="40" t="s">
        <v>25</v>
      </c>
      <c r="C45" s="93">
        <v>31.0</v>
      </c>
      <c r="D45" s="93" t="s">
        <v>580</v>
      </c>
      <c r="G45" s="42"/>
      <c r="H45" s="42"/>
      <c r="I45" s="42"/>
      <c r="J45" s="42"/>
      <c r="K45" s="42"/>
      <c r="L45" s="42"/>
      <c r="M45" s="42"/>
    </row>
    <row r="46">
      <c r="A46" s="44">
        <v>45537.0</v>
      </c>
      <c r="B46" s="40" t="s">
        <v>25</v>
      </c>
      <c r="C46" s="93">
        <v>26.0</v>
      </c>
      <c r="D46" s="93" t="s">
        <v>584</v>
      </c>
      <c r="G46" s="42"/>
      <c r="H46" s="42"/>
      <c r="I46" s="42"/>
      <c r="J46" s="42"/>
      <c r="K46" s="42"/>
      <c r="L46" s="42"/>
      <c r="M46" s="42"/>
    </row>
    <row r="47">
      <c r="A47" s="44">
        <v>45542.0</v>
      </c>
      <c r="B47" s="40" t="s">
        <v>17</v>
      </c>
      <c r="C47" s="93">
        <v>100.68</v>
      </c>
      <c r="D47" s="93" t="s">
        <v>769</v>
      </c>
      <c r="G47" s="42"/>
      <c r="H47" s="42"/>
      <c r="I47" s="42"/>
      <c r="J47" s="42"/>
      <c r="K47" s="42"/>
      <c r="L47" s="42"/>
      <c r="M47" s="42"/>
    </row>
    <row r="48">
      <c r="A48" s="44">
        <v>45542.0</v>
      </c>
      <c r="B48" s="40" t="s">
        <v>571</v>
      </c>
      <c r="C48" s="93">
        <v>285.0</v>
      </c>
      <c r="D48" s="93" t="s">
        <v>298</v>
      </c>
      <c r="G48" s="42"/>
      <c r="H48" s="42"/>
      <c r="I48" s="42"/>
      <c r="J48" s="42"/>
      <c r="K48" s="42"/>
      <c r="L48" s="42"/>
      <c r="M48" s="42"/>
    </row>
    <row r="49">
      <c r="A49" s="44">
        <v>45542.0</v>
      </c>
      <c r="B49" s="40" t="s">
        <v>25</v>
      </c>
      <c r="C49" s="93">
        <v>4.8</v>
      </c>
      <c r="D49" s="93" t="s">
        <v>770</v>
      </c>
      <c r="G49" s="42"/>
      <c r="H49" s="42"/>
      <c r="I49" s="42"/>
      <c r="J49" s="42"/>
      <c r="K49" s="42"/>
      <c r="L49" s="42"/>
      <c r="M49" s="42"/>
    </row>
    <row r="50">
      <c r="A50" s="44"/>
      <c r="B50" s="40" t="s">
        <v>19</v>
      </c>
      <c r="C50" s="40"/>
      <c r="D50" s="93" t="s">
        <v>763</v>
      </c>
      <c r="E50" s="90"/>
      <c r="G50" s="42"/>
      <c r="H50" s="42"/>
      <c r="I50" s="42"/>
      <c r="J50" s="42"/>
      <c r="K50" s="42"/>
      <c r="L50" s="42"/>
      <c r="M50" s="42"/>
    </row>
    <row r="51">
      <c r="A51" s="44"/>
      <c r="B51" s="40" t="s">
        <v>14</v>
      </c>
      <c r="C51" s="93">
        <v>11.0</v>
      </c>
      <c r="D51" s="93" t="s">
        <v>771</v>
      </c>
      <c r="E51" s="90"/>
      <c r="G51" s="42"/>
      <c r="H51" s="42"/>
      <c r="I51" s="42"/>
      <c r="J51" s="42"/>
      <c r="K51" s="42"/>
      <c r="L51" s="42"/>
      <c r="M51" s="42"/>
    </row>
    <row r="52">
      <c r="A52" s="44">
        <v>45549.0</v>
      </c>
      <c r="B52" s="40" t="s">
        <v>19</v>
      </c>
      <c r="C52" s="93">
        <v>1.25</v>
      </c>
      <c r="D52" s="93" t="s">
        <v>763</v>
      </c>
      <c r="E52" s="90"/>
      <c r="G52" s="42"/>
      <c r="H52" s="42"/>
      <c r="I52" s="42"/>
      <c r="J52" s="42"/>
      <c r="K52" s="42"/>
      <c r="L52" s="42"/>
      <c r="M52" s="42"/>
    </row>
    <row r="53">
      <c r="A53" s="44">
        <v>45537.0</v>
      </c>
      <c r="B53" s="40" t="s">
        <v>17</v>
      </c>
      <c r="C53" s="93">
        <v>10.0</v>
      </c>
      <c r="D53" s="93" t="s">
        <v>772</v>
      </c>
      <c r="E53" s="90" t="s">
        <v>729</v>
      </c>
      <c r="G53" s="42"/>
      <c r="H53" s="42"/>
      <c r="I53" s="42"/>
      <c r="J53" s="42"/>
      <c r="K53" s="42"/>
      <c r="L53" s="42"/>
      <c r="M53" s="42"/>
    </row>
    <row r="54">
      <c r="A54" s="44">
        <v>45537.0</v>
      </c>
      <c r="B54" s="40" t="s">
        <v>17</v>
      </c>
      <c r="C54" s="93">
        <v>34.3</v>
      </c>
      <c r="D54" s="93" t="s">
        <v>773</v>
      </c>
      <c r="E54" s="41" t="s">
        <v>774</v>
      </c>
      <c r="G54" s="42"/>
      <c r="H54" s="42"/>
      <c r="I54" s="42"/>
      <c r="J54" s="42"/>
      <c r="K54" s="42"/>
      <c r="L54" s="42"/>
      <c r="M54" s="42"/>
    </row>
    <row r="55">
      <c r="A55" s="44">
        <v>45537.0</v>
      </c>
      <c r="B55" s="40" t="s">
        <v>19</v>
      </c>
      <c r="C55" s="93">
        <v>4.66</v>
      </c>
      <c r="D55" s="93" t="s">
        <v>775</v>
      </c>
      <c r="E55" s="41"/>
      <c r="G55" s="42"/>
      <c r="H55" s="42"/>
      <c r="I55" s="42"/>
      <c r="J55" s="42"/>
      <c r="K55" s="42"/>
      <c r="L55" s="42"/>
      <c r="M55" s="42"/>
    </row>
    <row r="56">
      <c r="A56" s="44">
        <v>45537.0</v>
      </c>
      <c r="B56" s="40" t="s">
        <v>15</v>
      </c>
      <c r="C56" s="93">
        <v>51.32</v>
      </c>
      <c r="D56" s="93" t="s">
        <v>776</v>
      </c>
      <c r="E56" s="41"/>
      <c r="G56" s="42"/>
      <c r="H56" s="42"/>
      <c r="I56" s="42"/>
      <c r="J56" s="42"/>
      <c r="K56" s="42"/>
      <c r="L56" s="42"/>
      <c r="M56" s="42"/>
    </row>
    <row r="57">
      <c r="A57" s="44">
        <v>45538.0</v>
      </c>
      <c r="B57" s="40" t="s">
        <v>15</v>
      </c>
      <c r="C57" s="93">
        <v>569.67</v>
      </c>
      <c r="D57" s="93" t="s">
        <v>57</v>
      </c>
      <c r="E57" s="41"/>
      <c r="G57" s="42"/>
      <c r="H57" s="42"/>
      <c r="I57" s="42"/>
      <c r="J57" s="42"/>
      <c r="K57" s="42"/>
      <c r="L57" s="42"/>
      <c r="M57" s="42"/>
    </row>
    <row r="58">
      <c r="A58" s="44">
        <v>45541.0</v>
      </c>
      <c r="B58" s="40" t="s">
        <v>24</v>
      </c>
      <c r="C58" s="93">
        <f>10+45</f>
        <v>55</v>
      </c>
      <c r="D58" s="93" t="s">
        <v>777</v>
      </c>
      <c r="E58" s="41"/>
      <c r="G58" s="42"/>
      <c r="H58" s="42"/>
      <c r="I58" s="42"/>
      <c r="J58" s="42"/>
      <c r="K58" s="42"/>
      <c r="L58" s="42"/>
      <c r="M58" s="42"/>
    </row>
    <row r="59">
      <c r="A59" s="44">
        <v>45541.0</v>
      </c>
      <c r="B59" s="40" t="s">
        <v>17</v>
      </c>
      <c r="C59" s="93">
        <v>26.65</v>
      </c>
      <c r="D59" s="93" t="s">
        <v>778</v>
      </c>
      <c r="E59" s="41"/>
      <c r="G59" s="42"/>
      <c r="H59" s="42"/>
      <c r="I59" s="42"/>
      <c r="J59" s="42"/>
      <c r="K59" s="42"/>
      <c r="L59" s="42"/>
      <c r="M59" s="42"/>
    </row>
    <row r="60">
      <c r="A60" s="44">
        <v>45542.0</v>
      </c>
      <c r="B60" s="40" t="s">
        <v>17</v>
      </c>
      <c r="C60" s="93">
        <f>137.29</f>
        <v>137.29</v>
      </c>
      <c r="D60" s="93" t="s">
        <v>779</v>
      </c>
      <c r="E60" s="41"/>
      <c r="G60" s="42"/>
      <c r="H60" s="42"/>
      <c r="I60" s="42"/>
      <c r="J60" s="42"/>
      <c r="K60" s="42"/>
      <c r="L60" s="42"/>
      <c r="M60" s="42"/>
    </row>
    <row r="61">
      <c r="A61" s="44">
        <v>45544.0</v>
      </c>
      <c r="B61" s="40" t="s">
        <v>24</v>
      </c>
      <c r="C61" s="93">
        <v>16.13</v>
      </c>
      <c r="D61" s="93" t="s">
        <v>780</v>
      </c>
      <c r="E61" s="41"/>
      <c r="G61" s="42"/>
      <c r="H61" s="42"/>
      <c r="I61" s="42"/>
      <c r="J61" s="42"/>
      <c r="K61" s="42"/>
      <c r="L61" s="42"/>
      <c r="M61" s="42"/>
    </row>
    <row r="62">
      <c r="A62" s="44">
        <v>45547.0</v>
      </c>
      <c r="B62" s="40" t="s">
        <v>17</v>
      </c>
      <c r="C62" s="93">
        <v>17.39</v>
      </c>
      <c r="D62" s="93" t="s">
        <v>781</v>
      </c>
      <c r="E62" s="41"/>
      <c r="G62" s="42"/>
      <c r="H62" s="42"/>
      <c r="I62" s="42"/>
      <c r="J62" s="42"/>
      <c r="K62" s="42"/>
      <c r="L62" s="42"/>
      <c r="M62" s="42"/>
    </row>
    <row r="63">
      <c r="A63" s="44">
        <v>45548.0</v>
      </c>
      <c r="B63" s="40" t="s">
        <v>17</v>
      </c>
      <c r="C63" s="93">
        <f>224.76/6*2</f>
        <v>74.92</v>
      </c>
      <c r="D63" s="93" t="s">
        <v>779</v>
      </c>
      <c r="E63" s="41"/>
      <c r="G63" s="42"/>
      <c r="H63" s="42"/>
      <c r="I63" s="42"/>
      <c r="J63" s="42"/>
      <c r="K63" s="42"/>
      <c r="L63" s="42"/>
      <c r="M63" s="42"/>
    </row>
    <row r="64">
      <c r="A64" s="44">
        <v>45549.0</v>
      </c>
      <c r="B64" s="40" t="s">
        <v>15</v>
      </c>
      <c r="C64" s="93">
        <f>5.12+25+17</f>
        <v>47.12</v>
      </c>
      <c r="D64" s="93" t="s">
        <v>57</v>
      </c>
      <c r="E64" s="41"/>
      <c r="G64" s="42"/>
      <c r="H64" s="42"/>
      <c r="I64" s="42"/>
      <c r="J64" s="42"/>
      <c r="K64" s="42"/>
      <c r="L64" s="42"/>
      <c r="M64" s="42"/>
    </row>
    <row r="65">
      <c r="A65" s="44">
        <v>45549.0</v>
      </c>
      <c r="B65" s="40" t="s">
        <v>19</v>
      </c>
      <c r="C65" s="41">
        <v>2.5</v>
      </c>
      <c r="D65" s="41" t="s">
        <v>782</v>
      </c>
      <c r="E65" s="41"/>
      <c r="G65" s="42"/>
      <c r="H65" s="42"/>
      <c r="I65" s="42"/>
      <c r="J65" s="42"/>
      <c r="K65" s="42"/>
      <c r="L65" s="42"/>
      <c r="M65" s="42"/>
    </row>
    <row r="66">
      <c r="A66" s="44">
        <v>45550.0</v>
      </c>
      <c r="B66" s="40" t="s">
        <v>24</v>
      </c>
      <c r="C66" s="93">
        <v>11.78</v>
      </c>
      <c r="D66" s="41" t="s">
        <v>98</v>
      </c>
      <c r="E66" s="41"/>
      <c r="G66" s="42"/>
      <c r="H66" s="42"/>
      <c r="I66" s="42"/>
      <c r="J66" s="42"/>
      <c r="K66" s="42"/>
      <c r="L66" s="42"/>
      <c r="M66" s="42"/>
    </row>
    <row r="67">
      <c r="A67" s="44">
        <v>45550.0</v>
      </c>
      <c r="B67" s="40" t="s">
        <v>24</v>
      </c>
      <c r="C67" s="41">
        <v>4.76</v>
      </c>
      <c r="D67" s="41" t="s">
        <v>775</v>
      </c>
      <c r="E67" s="41"/>
      <c r="G67" s="42"/>
      <c r="H67" s="42"/>
      <c r="I67" s="42"/>
      <c r="J67" s="42"/>
      <c r="K67" s="42"/>
      <c r="L67" s="42"/>
      <c r="M67" s="42"/>
    </row>
    <row r="68">
      <c r="A68" s="44">
        <v>45550.0</v>
      </c>
      <c r="B68" s="40" t="s">
        <v>17</v>
      </c>
      <c r="C68" s="41">
        <v>12.63</v>
      </c>
      <c r="D68" s="41" t="s">
        <v>783</v>
      </c>
      <c r="E68" s="41" t="s">
        <v>774</v>
      </c>
      <c r="G68" s="42"/>
      <c r="H68" s="42"/>
      <c r="I68" s="42"/>
      <c r="J68" s="42"/>
      <c r="K68" s="42"/>
      <c r="L68" s="42"/>
      <c r="M68" s="42"/>
    </row>
    <row r="69">
      <c r="A69" s="44">
        <v>45550.0</v>
      </c>
      <c r="B69" s="40" t="s">
        <v>15</v>
      </c>
      <c r="C69" s="41">
        <v>98.81</v>
      </c>
      <c r="D69" s="41" t="s">
        <v>57</v>
      </c>
      <c r="E69" s="41"/>
      <c r="G69" s="42"/>
      <c r="H69" s="42"/>
      <c r="I69" s="42"/>
      <c r="J69" s="42"/>
      <c r="K69" s="42"/>
      <c r="L69" s="42"/>
      <c r="M69" s="42"/>
    </row>
    <row r="70">
      <c r="A70" s="44">
        <v>45550.0</v>
      </c>
      <c r="B70" s="40" t="s">
        <v>19</v>
      </c>
      <c r="C70" s="41">
        <v>1.25</v>
      </c>
      <c r="D70" s="41" t="s">
        <v>782</v>
      </c>
      <c r="E70" s="41"/>
      <c r="F70" s="19" t="s">
        <v>632</v>
      </c>
      <c r="G70" s="99">
        <v>36.3</v>
      </c>
      <c r="H70" s="42"/>
      <c r="I70" s="42"/>
      <c r="J70" s="42"/>
      <c r="K70" s="42"/>
      <c r="L70" s="42"/>
      <c r="M70" s="42"/>
    </row>
    <row r="71">
      <c r="A71" s="44">
        <v>45552.0</v>
      </c>
      <c r="B71" s="40" t="s">
        <v>17</v>
      </c>
      <c r="C71" s="41">
        <v>7.87</v>
      </c>
      <c r="D71" s="41" t="s">
        <v>546</v>
      </c>
      <c r="E71" s="41"/>
      <c r="G71" s="42"/>
      <c r="H71" s="42"/>
      <c r="I71" s="42"/>
      <c r="J71" s="42"/>
      <c r="K71" s="42"/>
      <c r="L71" s="42"/>
      <c r="M71" s="42"/>
    </row>
    <row r="72">
      <c r="A72" s="44">
        <v>45553.0</v>
      </c>
      <c r="B72" s="40" t="s">
        <v>17</v>
      </c>
      <c r="C72" s="41">
        <v>10.11</v>
      </c>
      <c r="D72" s="41" t="s">
        <v>772</v>
      </c>
      <c r="E72" s="41"/>
      <c r="G72" s="42"/>
      <c r="H72" s="42"/>
      <c r="I72" s="42"/>
      <c r="J72" s="42"/>
      <c r="K72" s="42"/>
      <c r="L72" s="42"/>
      <c r="M72" s="42"/>
    </row>
    <row r="73">
      <c r="A73" s="44">
        <v>45553.0</v>
      </c>
      <c r="B73" s="40" t="s">
        <v>17</v>
      </c>
      <c r="C73" s="41">
        <v>21.89</v>
      </c>
      <c r="D73" s="41" t="s">
        <v>784</v>
      </c>
      <c r="E73" s="41"/>
      <c r="G73" s="42"/>
      <c r="H73" s="42"/>
      <c r="I73" s="42"/>
      <c r="J73" s="42"/>
      <c r="K73" s="42"/>
      <c r="L73" s="42"/>
      <c r="M73" s="42"/>
    </row>
    <row r="74">
      <c r="A74" s="44">
        <v>45540.0</v>
      </c>
      <c r="B74" s="40" t="s">
        <v>15</v>
      </c>
      <c r="C74" s="41">
        <v>-185.0</v>
      </c>
      <c r="D74" s="41" t="s">
        <v>47</v>
      </c>
      <c r="E74" s="41"/>
      <c r="G74" s="42"/>
      <c r="H74" s="42"/>
      <c r="I74" s="42"/>
      <c r="J74" s="42"/>
      <c r="K74" s="42"/>
      <c r="L74" s="42"/>
      <c r="M74" s="42"/>
    </row>
    <row r="75">
      <c r="A75" s="44">
        <v>45556.0</v>
      </c>
      <c r="B75" s="40" t="s">
        <v>15</v>
      </c>
      <c r="C75" s="41">
        <v>407.0</v>
      </c>
      <c r="D75" s="41" t="s">
        <v>785</v>
      </c>
      <c r="E75" s="41"/>
      <c r="G75" s="42"/>
      <c r="H75" s="42"/>
      <c r="I75" s="42"/>
      <c r="J75" s="42"/>
      <c r="K75" s="42"/>
      <c r="L75" s="42"/>
      <c r="M75" s="42"/>
    </row>
    <row r="76">
      <c r="A76" s="44">
        <v>45557.0</v>
      </c>
      <c r="B76" s="40" t="s">
        <v>15</v>
      </c>
      <c r="C76" s="41">
        <v>48.0</v>
      </c>
      <c r="D76" s="41" t="s">
        <v>64</v>
      </c>
      <c r="E76" s="41"/>
      <c r="G76" s="42"/>
      <c r="H76" s="42"/>
      <c r="I76" s="42"/>
      <c r="J76" s="42"/>
      <c r="K76" s="42"/>
      <c r="L76" s="42"/>
      <c r="M76" s="42"/>
    </row>
    <row r="77">
      <c r="A77" s="44">
        <v>45557.0</v>
      </c>
      <c r="B77" s="40" t="s">
        <v>15</v>
      </c>
      <c r="C77" s="41">
        <v>120.0</v>
      </c>
      <c r="D77" s="41" t="s">
        <v>64</v>
      </c>
      <c r="E77" s="41"/>
      <c r="G77" s="42"/>
      <c r="H77" s="42"/>
      <c r="I77" s="42"/>
      <c r="J77" s="42"/>
      <c r="K77" s="42"/>
      <c r="L77" s="42"/>
      <c r="M77" s="42"/>
    </row>
    <row r="78">
      <c r="A78" s="44">
        <v>45563.0</v>
      </c>
      <c r="B78" s="40" t="s">
        <v>17</v>
      </c>
      <c r="C78" s="41">
        <v>10.58</v>
      </c>
      <c r="D78" s="41" t="s">
        <v>786</v>
      </c>
      <c r="E78" s="41"/>
      <c r="G78" s="42"/>
      <c r="H78" s="42"/>
      <c r="I78" s="42"/>
      <c r="J78" s="42"/>
      <c r="K78" s="42"/>
      <c r="L78" s="42"/>
      <c r="M78" s="42"/>
    </row>
    <row r="79">
      <c r="A79" s="44">
        <v>45565.0</v>
      </c>
      <c r="B79" s="40" t="s">
        <v>19</v>
      </c>
      <c r="C79" s="41">
        <v>10.65</v>
      </c>
      <c r="D79" s="41" t="s">
        <v>787</v>
      </c>
      <c r="E79" s="41"/>
      <c r="G79" s="42"/>
      <c r="H79" s="42"/>
      <c r="I79" s="42"/>
      <c r="J79" s="42"/>
      <c r="K79" s="42"/>
      <c r="L79" s="42"/>
      <c r="M79" s="42"/>
    </row>
    <row r="80">
      <c r="A80" s="44">
        <v>45562.0</v>
      </c>
      <c r="B80" s="40" t="s">
        <v>17</v>
      </c>
      <c r="C80" s="41">
        <v>74.0</v>
      </c>
      <c r="D80" s="41" t="s">
        <v>788</v>
      </c>
      <c r="E80" s="41"/>
      <c r="G80" s="42"/>
      <c r="H80" s="42"/>
      <c r="I80" s="42"/>
      <c r="J80" s="42"/>
      <c r="K80" s="42"/>
      <c r="L80" s="42"/>
      <c r="M80" s="42"/>
    </row>
    <row r="81">
      <c r="A81" s="44">
        <v>45562.0</v>
      </c>
      <c r="B81" s="40" t="s">
        <v>79</v>
      </c>
      <c r="C81" s="41">
        <v>54.0</v>
      </c>
      <c r="D81" s="41" t="s">
        <v>789</v>
      </c>
      <c r="E81" s="41"/>
      <c r="G81" s="42"/>
      <c r="H81" s="42"/>
      <c r="I81" s="42"/>
      <c r="J81" s="42"/>
      <c r="K81" s="42"/>
      <c r="L81" s="42"/>
      <c r="M81" s="42"/>
    </row>
    <row r="82">
      <c r="A82" s="44">
        <v>45563.0</v>
      </c>
      <c r="B82" s="40" t="s">
        <v>25</v>
      </c>
      <c r="C82" s="41">
        <v>4.56</v>
      </c>
      <c r="D82" s="41" t="s">
        <v>790</v>
      </c>
      <c r="E82" s="41"/>
      <c r="G82" s="42"/>
      <c r="H82" s="42"/>
      <c r="I82" s="42"/>
      <c r="J82" s="42"/>
      <c r="K82" s="42"/>
      <c r="L82" s="42"/>
      <c r="M82" s="42"/>
    </row>
    <row r="83">
      <c r="A83" s="44">
        <v>45561.0</v>
      </c>
      <c r="B83" s="40" t="s">
        <v>17</v>
      </c>
      <c r="C83" s="41">
        <v>12.23</v>
      </c>
      <c r="D83" s="41" t="s">
        <v>791</v>
      </c>
      <c r="E83" s="41" t="s">
        <v>729</v>
      </c>
      <c r="G83" s="42"/>
      <c r="H83" s="42"/>
      <c r="I83" s="42"/>
      <c r="J83" s="42"/>
      <c r="K83" s="42"/>
      <c r="L83" s="42"/>
      <c r="M83" s="42"/>
    </row>
    <row r="84">
      <c r="A84" s="44">
        <v>45559.0</v>
      </c>
      <c r="B84" s="40" t="s">
        <v>19</v>
      </c>
      <c r="C84" s="41">
        <v>5.0</v>
      </c>
      <c r="D84" s="41" t="s">
        <v>763</v>
      </c>
      <c r="E84" s="41"/>
      <c r="G84" s="42"/>
      <c r="H84" s="42"/>
      <c r="I84" s="42"/>
      <c r="J84" s="42"/>
      <c r="K84" s="42"/>
      <c r="L84" s="42"/>
      <c r="M84" s="42"/>
    </row>
    <row r="85">
      <c r="A85" s="44">
        <v>45559.0</v>
      </c>
      <c r="B85" s="40" t="s">
        <v>17</v>
      </c>
      <c r="C85" s="41">
        <v>8.29</v>
      </c>
      <c r="D85" s="41" t="s">
        <v>792</v>
      </c>
      <c r="E85" s="41"/>
      <c r="G85" s="42"/>
      <c r="H85" s="42"/>
      <c r="I85" s="42"/>
      <c r="J85" s="42"/>
      <c r="K85" s="42"/>
      <c r="L85" s="42"/>
      <c r="M85" s="42"/>
    </row>
    <row r="86">
      <c r="A86" s="44">
        <v>45556.0</v>
      </c>
      <c r="B86" s="40" t="s">
        <v>79</v>
      </c>
      <c r="C86" s="41">
        <v>42.98</v>
      </c>
      <c r="D86" s="41" t="s">
        <v>119</v>
      </c>
      <c r="E86" s="41"/>
      <c r="G86" s="42"/>
      <c r="H86" s="42"/>
      <c r="I86" s="42"/>
      <c r="J86" s="42"/>
      <c r="K86" s="42"/>
      <c r="L86" s="42"/>
      <c r="M86" s="42"/>
    </row>
    <row r="87">
      <c r="A87" s="44">
        <v>45556.0</v>
      </c>
      <c r="B87" s="40" t="s">
        <v>17</v>
      </c>
      <c r="C87" s="41">
        <v>21.38</v>
      </c>
      <c r="D87" s="41" t="s">
        <v>793</v>
      </c>
      <c r="E87" s="41" t="s">
        <v>729</v>
      </c>
      <c r="G87" s="42"/>
      <c r="H87" s="42"/>
      <c r="I87" s="42"/>
      <c r="J87" s="42"/>
      <c r="K87" s="42"/>
      <c r="L87" s="42"/>
      <c r="M87" s="42"/>
    </row>
    <row r="88">
      <c r="A88" s="44">
        <v>45554.0</v>
      </c>
      <c r="B88" s="40" t="s">
        <v>17</v>
      </c>
      <c r="C88" s="41">
        <v>6.13</v>
      </c>
      <c r="D88" s="41" t="s">
        <v>794</v>
      </c>
      <c r="E88" s="41"/>
      <c r="G88" s="42"/>
      <c r="H88" s="42"/>
      <c r="I88" s="42"/>
      <c r="J88" s="42"/>
      <c r="K88" s="42"/>
      <c r="L88" s="42"/>
      <c r="M88" s="42"/>
    </row>
    <row r="89">
      <c r="A89" s="44">
        <v>45554.0</v>
      </c>
      <c r="B89" s="40" t="s">
        <v>17</v>
      </c>
      <c r="C89" s="41">
        <v>9.0</v>
      </c>
      <c r="D89" s="41" t="s">
        <v>795</v>
      </c>
      <c r="E89" s="41"/>
      <c r="G89" s="42"/>
      <c r="H89" s="42"/>
      <c r="I89" s="42"/>
      <c r="J89" s="42"/>
      <c r="K89" s="42"/>
      <c r="L89" s="42"/>
      <c r="M89" s="42"/>
    </row>
    <row r="90">
      <c r="A90" s="44">
        <v>45189.0</v>
      </c>
      <c r="B90" s="40" t="s">
        <v>25</v>
      </c>
      <c r="C90" s="41">
        <v>12.33</v>
      </c>
      <c r="D90" s="41" t="s">
        <v>584</v>
      </c>
      <c r="E90" s="41"/>
      <c r="G90" s="42"/>
      <c r="H90" s="42"/>
      <c r="I90" s="42"/>
      <c r="J90" s="42"/>
      <c r="K90" s="42"/>
      <c r="L90" s="42"/>
      <c r="M90" s="42"/>
    </row>
    <row r="91">
      <c r="A91" s="44">
        <v>45555.0</v>
      </c>
      <c r="B91" s="40" t="s">
        <v>25</v>
      </c>
      <c r="C91" s="41">
        <v>159.98</v>
      </c>
      <c r="D91" s="41" t="s">
        <v>796</v>
      </c>
      <c r="E91" s="41"/>
      <c r="G91" s="42"/>
      <c r="H91" s="42"/>
      <c r="I91" s="42"/>
      <c r="J91" s="42"/>
      <c r="K91" s="42"/>
      <c r="L91" s="42"/>
      <c r="M91" s="42"/>
    </row>
    <row r="92">
      <c r="A92" s="44">
        <v>45553.0</v>
      </c>
      <c r="B92" s="40" t="s">
        <v>79</v>
      </c>
      <c r="C92" s="41">
        <v>460.0</v>
      </c>
      <c r="D92" s="41" t="s">
        <v>797</v>
      </c>
      <c r="E92" s="41"/>
      <c r="G92" s="42"/>
      <c r="H92" s="42"/>
      <c r="I92" s="42"/>
      <c r="J92" s="42"/>
      <c r="K92" s="42"/>
      <c r="L92" s="42"/>
      <c r="M92" s="42"/>
    </row>
    <row r="93">
      <c r="A93" s="44">
        <v>45565.0</v>
      </c>
      <c r="B93" s="40" t="s">
        <v>15</v>
      </c>
      <c r="C93" s="41">
        <v>84.72</v>
      </c>
      <c r="D93" s="41" t="s">
        <v>15</v>
      </c>
      <c r="E93" s="41"/>
      <c r="G93" s="42"/>
      <c r="H93" s="42"/>
      <c r="I93" s="42"/>
      <c r="J93" s="42"/>
      <c r="K93" s="42"/>
      <c r="L93" s="42"/>
      <c r="M93" s="42"/>
    </row>
    <row r="94">
      <c r="A94" s="44">
        <v>45565.0</v>
      </c>
      <c r="B94" s="40" t="s">
        <v>15</v>
      </c>
      <c r="C94" s="41">
        <v>39.46</v>
      </c>
      <c r="D94" s="41" t="s">
        <v>15</v>
      </c>
      <c r="E94" s="41"/>
      <c r="G94" s="42"/>
      <c r="H94" s="42"/>
      <c r="I94" s="42"/>
      <c r="J94" s="42"/>
      <c r="K94" s="42"/>
      <c r="L94" s="42"/>
      <c r="M94" s="42"/>
    </row>
    <row r="95">
      <c r="A95" s="44">
        <v>45564.0</v>
      </c>
      <c r="B95" s="40" t="s">
        <v>19</v>
      </c>
      <c r="C95" s="41">
        <v>6.46</v>
      </c>
      <c r="D95" s="41" t="s">
        <v>798</v>
      </c>
      <c r="E95" s="41"/>
      <c r="G95" s="42"/>
      <c r="H95" s="42"/>
      <c r="I95" s="42"/>
      <c r="J95" s="42"/>
      <c r="K95" s="42"/>
      <c r="L95" s="42"/>
      <c r="M95" s="42"/>
    </row>
    <row r="96">
      <c r="E96" s="41"/>
      <c r="G96" s="42"/>
      <c r="H96" s="42"/>
      <c r="I96" s="42"/>
      <c r="J96" s="42"/>
      <c r="K96" s="42"/>
      <c r="L96" s="42"/>
      <c r="M96" s="42"/>
    </row>
    <row r="97">
      <c r="E97" s="41"/>
      <c r="G97" s="42"/>
      <c r="H97" s="42"/>
      <c r="I97" s="42"/>
      <c r="J97" s="42"/>
      <c r="K97" s="42"/>
      <c r="L97" s="42"/>
      <c r="M97" s="42"/>
    </row>
    <row r="98">
      <c r="E98" s="41"/>
      <c r="G98" s="42"/>
      <c r="H98" s="42"/>
      <c r="I98" s="42"/>
      <c r="J98" s="42"/>
      <c r="K98" s="42"/>
      <c r="L98" s="42"/>
      <c r="M98" s="42"/>
    </row>
    <row r="99">
      <c r="E99" s="41"/>
      <c r="G99" s="42"/>
      <c r="H99" s="42"/>
      <c r="I99" s="42"/>
      <c r="J99" s="42"/>
      <c r="K99" s="42"/>
      <c r="L99" s="42"/>
      <c r="M99" s="42"/>
    </row>
    <row r="100">
      <c r="E100" s="41"/>
      <c r="G100" s="42"/>
      <c r="H100" s="42"/>
      <c r="I100" s="42"/>
      <c r="J100" s="42"/>
      <c r="K100" s="42"/>
      <c r="L100" s="42"/>
      <c r="M100" s="42"/>
    </row>
    <row r="101">
      <c r="E101" s="41"/>
      <c r="G101" s="42"/>
      <c r="H101" s="42"/>
      <c r="I101" s="42"/>
      <c r="J101" s="42"/>
      <c r="K101" s="42"/>
      <c r="L101" s="42"/>
      <c r="M101" s="42"/>
    </row>
    <row r="102">
      <c r="E102" s="41"/>
      <c r="G102" s="42"/>
      <c r="H102" s="42"/>
      <c r="I102" s="42"/>
      <c r="J102" s="42"/>
      <c r="K102" s="42"/>
      <c r="L102" s="42"/>
      <c r="M102" s="42"/>
    </row>
    <row r="103">
      <c r="E103" s="41"/>
      <c r="G103" s="42"/>
      <c r="H103" s="42"/>
      <c r="I103" s="42"/>
      <c r="J103" s="42"/>
      <c r="K103" s="42"/>
      <c r="L103" s="42"/>
      <c r="M103" s="42"/>
    </row>
    <row r="104">
      <c r="E104" s="41"/>
      <c r="G104" s="42"/>
      <c r="H104" s="42"/>
      <c r="I104" s="42"/>
      <c r="J104" s="42"/>
      <c r="K104" s="42"/>
      <c r="L104" s="42"/>
      <c r="M104" s="42"/>
    </row>
    <row r="105">
      <c r="E105" s="41"/>
      <c r="G105" s="42"/>
      <c r="H105" s="42"/>
      <c r="I105" s="42"/>
      <c r="J105" s="42"/>
      <c r="K105" s="42"/>
      <c r="L105" s="42"/>
      <c r="M105" s="42"/>
    </row>
    <row r="106">
      <c r="E106" s="41"/>
      <c r="G106" s="42"/>
      <c r="H106" s="42"/>
      <c r="I106" s="42"/>
      <c r="J106" s="42"/>
      <c r="K106" s="42"/>
      <c r="L106" s="42"/>
      <c r="M106" s="42"/>
    </row>
    <row r="107">
      <c r="A107" s="44"/>
      <c r="B107" s="40"/>
      <c r="C107" s="41"/>
      <c r="D107" s="41"/>
      <c r="E107" s="41"/>
      <c r="G107" s="42"/>
      <c r="H107" s="42"/>
      <c r="I107" s="42"/>
      <c r="J107" s="42"/>
      <c r="K107" s="42"/>
      <c r="L107" s="42"/>
      <c r="M107" s="42"/>
    </row>
    <row r="108">
      <c r="A108" s="44"/>
      <c r="B108" s="40"/>
      <c r="C108" s="41"/>
      <c r="D108" s="41"/>
      <c r="E108" s="41"/>
      <c r="G108" s="42"/>
      <c r="H108" s="42"/>
      <c r="I108" s="42"/>
      <c r="J108" s="42"/>
      <c r="K108" s="42"/>
      <c r="L108" s="42"/>
      <c r="M108" s="42"/>
    </row>
    <row r="109">
      <c r="A109" s="44"/>
      <c r="B109" s="40"/>
      <c r="C109" s="41"/>
      <c r="D109" s="41"/>
      <c r="E109" s="41"/>
      <c r="G109" s="42"/>
      <c r="H109" s="42"/>
      <c r="I109" s="42"/>
      <c r="J109" s="42"/>
      <c r="K109" s="42"/>
      <c r="L109" s="42"/>
      <c r="M109" s="42"/>
    </row>
    <row r="110">
      <c r="A110" s="44"/>
      <c r="B110" s="40"/>
      <c r="C110" s="41"/>
      <c r="D110" s="41"/>
      <c r="E110" s="41"/>
      <c r="G110" s="42"/>
      <c r="H110" s="42"/>
      <c r="I110" s="42"/>
      <c r="J110" s="42"/>
      <c r="K110" s="42"/>
      <c r="L110" s="42"/>
      <c r="M110" s="42"/>
    </row>
    <row r="111">
      <c r="A111" s="44"/>
      <c r="B111" s="40"/>
      <c r="C111" s="41"/>
      <c r="D111" s="41"/>
      <c r="E111" s="41"/>
      <c r="G111" s="42"/>
      <c r="H111" s="42"/>
      <c r="I111" s="42"/>
      <c r="J111" s="42"/>
      <c r="K111" s="42"/>
      <c r="L111" s="42"/>
      <c r="M111" s="42"/>
    </row>
    <row r="112">
      <c r="A112" s="44"/>
      <c r="B112" s="40"/>
      <c r="C112" s="41"/>
      <c r="D112" s="41"/>
      <c r="E112" s="41"/>
      <c r="G112" s="42"/>
      <c r="H112" s="42"/>
      <c r="I112" s="42"/>
      <c r="J112" s="42"/>
      <c r="K112" s="42"/>
      <c r="L112" s="42"/>
      <c r="M112" s="42"/>
    </row>
    <row r="113">
      <c r="A113" s="44"/>
      <c r="B113" s="40"/>
      <c r="C113" s="41"/>
      <c r="D113" s="41"/>
      <c r="E113" s="41"/>
      <c r="G113" s="42"/>
      <c r="H113" s="42"/>
      <c r="I113" s="42"/>
      <c r="J113" s="42"/>
      <c r="K113" s="42"/>
      <c r="L113" s="42"/>
      <c r="M113" s="42"/>
    </row>
    <row r="114">
      <c r="A114" s="44"/>
      <c r="B114" s="40"/>
      <c r="C114" s="41"/>
      <c r="D114" s="41"/>
      <c r="E114" s="41"/>
      <c r="G114" s="42"/>
      <c r="H114" s="42"/>
      <c r="I114" s="42"/>
      <c r="J114" s="42"/>
      <c r="K114" s="42"/>
      <c r="L114" s="42"/>
      <c r="M114" s="42"/>
    </row>
    <row r="115">
      <c r="A115" s="44"/>
      <c r="B115" s="40"/>
      <c r="C115" s="41"/>
      <c r="D115" s="41"/>
      <c r="E115" s="41"/>
      <c r="G115" s="42"/>
      <c r="H115" s="42"/>
      <c r="I115" s="42"/>
      <c r="J115" s="42"/>
      <c r="K115" s="42"/>
      <c r="L115" s="42"/>
      <c r="M115" s="42"/>
    </row>
    <row r="116">
      <c r="A116" s="44"/>
      <c r="B116" s="40"/>
      <c r="C116" s="41"/>
      <c r="D116" s="41"/>
      <c r="E116" s="41"/>
      <c r="G116" s="42"/>
      <c r="H116" s="42"/>
      <c r="I116" s="42"/>
      <c r="J116" s="42"/>
      <c r="K116" s="42"/>
      <c r="L116" s="42"/>
      <c r="M116" s="42"/>
    </row>
    <row r="117">
      <c r="A117" s="44"/>
      <c r="B117" s="40"/>
      <c r="C117" s="41"/>
      <c r="D117" s="41"/>
      <c r="E117" s="41"/>
      <c r="G117" s="42"/>
      <c r="H117" s="42"/>
      <c r="I117" s="42"/>
      <c r="J117" s="42"/>
      <c r="K117" s="42"/>
      <c r="L117" s="42"/>
      <c r="M117" s="42"/>
    </row>
    <row r="118">
      <c r="A118" s="44"/>
      <c r="B118" s="40"/>
      <c r="C118" s="41"/>
      <c r="D118" s="41"/>
      <c r="E118" s="41"/>
      <c r="G118" s="42"/>
      <c r="H118" s="42"/>
      <c r="I118" s="42"/>
      <c r="J118" s="42"/>
      <c r="K118" s="42"/>
      <c r="L118" s="42"/>
      <c r="M118" s="42"/>
    </row>
    <row r="119">
      <c r="A119" s="44"/>
      <c r="B119" s="40"/>
      <c r="C119" s="41"/>
      <c r="D119" s="41"/>
      <c r="E119" s="41"/>
      <c r="G119" s="42"/>
      <c r="H119" s="42"/>
      <c r="I119" s="42"/>
      <c r="J119" s="42"/>
      <c r="K119" s="42"/>
      <c r="L119" s="42"/>
      <c r="M119" s="42"/>
    </row>
    <row r="120">
      <c r="A120" s="44"/>
      <c r="B120" s="40"/>
      <c r="C120" s="41"/>
      <c r="D120" s="41"/>
      <c r="E120" s="41"/>
      <c r="G120" s="42"/>
      <c r="H120" s="42"/>
      <c r="I120" s="42"/>
      <c r="J120" s="42"/>
      <c r="K120" s="42"/>
      <c r="L120" s="42"/>
      <c r="M120" s="42"/>
    </row>
    <row r="121">
      <c r="A121" s="44"/>
      <c r="B121" s="40"/>
      <c r="C121" s="41"/>
      <c r="D121" s="41"/>
      <c r="E121" s="41"/>
      <c r="G121" s="42"/>
      <c r="H121" s="42"/>
      <c r="I121" s="42"/>
      <c r="J121" s="42"/>
      <c r="K121" s="42"/>
      <c r="L121" s="42"/>
      <c r="M121" s="42"/>
    </row>
    <row r="122">
      <c r="A122" s="44"/>
      <c r="B122" s="40"/>
      <c r="C122" s="41"/>
      <c r="D122" s="41"/>
      <c r="E122" s="41"/>
      <c r="G122" s="42"/>
      <c r="H122" s="42"/>
      <c r="I122" s="42"/>
      <c r="J122" s="42"/>
      <c r="K122" s="42"/>
      <c r="L122" s="42"/>
      <c r="M122" s="42"/>
    </row>
    <row r="123">
      <c r="A123" s="44"/>
      <c r="B123" s="40"/>
      <c r="C123" s="41"/>
      <c r="D123" s="41"/>
      <c r="E123" s="41"/>
      <c r="G123" s="42"/>
      <c r="H123" s="42"/>
      <c r="I123" s="42"/>
      <c r="J123" s="42"/>
      <c r="K123" s="42"/>
      <c r="L123" s="42"/>
      <c r="M123" s="42"/>
    </row>
    <row r="124">
      <c r="A124" s="44"/>
      <c r="B124" s="40"/>
      <c r="C124" s="41"/>
      <c r="D124" s="41"/>
      <c r="E124" s="41"/>
      <c r="G124" s="42"/>
      <c r="H124" s="42"/>
      <c r="I124" s="42"/>
      <c r="J124" s="42"/>
      <c r="K124" s="42"/>
      <c r="L124" s="42"/>
      <c r="M124" s="42"/>
    </row>
    <row r="125">
      <c r="A125" s="44"/>
      <c r="B125" s="40"/>
      <c r="C125" s="41"/>
      <c r="D125" s="41"/>
      <c r="E125" s="41"/>
      <c r="G125" s="42"/>
      <c r="H125" s="42"/>
      <c r="I125" s="42"/>
      <c r="J125" s="42"/>
      <c r="K125" s="42"/>
      <c r="L125" s="42"/>
      <c r="M125" s="42"/>
    </row>
    <row r="126">
      <c r="A126" s="44"/>
      <c r="B126" s="40"/>
      <c r="C126" s="41"/>
      <c r="D126" s="41"/>
      <c r="E126" s="41"/>
      <c r="G126" s="42"/>
      <c r="H126" s="42"/>
      <c r="I126" s="42"/>
      <c r="J126" s="42"/>
      <c r="K126" s="42"/>
      <c r="L126" s="42"/>
      <c r="M126" s="42"/>
    </row>
    <row r="127">
      <c r="A127" s="44"/>
      <c r="B127" s="40"/>
      <c r="C127" s="41"/>
      <c r="D127" s="41"/>
      <c r="E127" s="41"/>
      <c r="G127" s="42"/>
      <c r="H127" s="42"/>
      <c r="I127" s="42"/>
      <c r="J127" s="42"/>
      <c r="K127" s="42"/>
      <c r="L127" s="42"/>
      <c r="M127" s="42"/>
    </row>
    <row r="128">
      <c r="A128" s="44"/>
      <c r="B128" s="40"/>
      <c r="C128" s="41"/>
      <c r="D128" s="41"/>
      <c r="E128" s="41"/>
      <c r="G128" s="42"/>
      <c r="H128" s="42"/>
      <c r="I128" s="42"/>
      <c r="J128" s="42"/>
      <c r="K128" s="42"/>
      <c r="L128" s="42"/>
      <c r="M128" s="42"/>
    </row>
    <row r="129">
      <c r="A129" s="44"/>
      <c r="B129" s="40"/>
      <c r="C129" s="41"/>
      <c r="D129" s="41"/>
      <c r="E129" s="41"/>
      <c r="G129" s="42"/>
      <c r="H129" s="42"/>
      <c r="I129" s="42"/>
      <c r="J129" s="42"/>
      <c r="K129" s="42"/>
      <c r="L129" s="42"/>
      <c r="M129" s="42"/>
    </row>
    <row r="130">
      <c r="A130" s="44"/>
      <c r="B130" s="40"/>
      <c r="C130" s="41"/>
      <c r="D130" s="41"/>
      <c r="E130" s="41"/>
      <c r="G130" s="42"/>
      <c r="H130" s="42"/>
      <c r="I130" s="42"/>
      <c r="J130" s="42"/>
      <c r="K130" s="42"/>
      <c r="L130" s="42"/>
      <c r="M130" s="42"/>
    </row>
    <row r="131">
      <c r="A131" s="44"/>
      <c r="B131" s="40"/>
      <c r="C131" s="41"/>
      <c r="D131" s="41"/>
      <c r="E131" s="41"/>
      <c r="G131" s="42"/>
      <c r="H131" s="42"/>
      <c r="I131" s="42"/>
      <c r="J131" s="42"/>
      <c r="K131" s="42"/>
      <c r="L131" s="42"/>
      <c r="M131" s="42"/>
    </row>
    <row r="132">
      <c r="A132" s="44"/>
      <c r="B132" s="40"/>
      <c r="C132" s="41"/>
      <c r="D132" s="41"/>
      <c r="E132" s="41"/>
      <c r="G132" s="42"/>
      <c r="H132" s="42"/>
      <c r="I132" s="42"/>
      <c r="J132" s="42"/>
      <c r="K132" s="42"/>
      <c r="L132" s="42"/>
      <c r="M132" s="42"/>
    </row>
    <row r="133">
      <c r="A133" s="44"/>
      <c r="B133" s="40"/>
      <c r="C133" s="41"/>
      <c r="D133" s="41"/>
      <c r="E133" s="41"/>
      <c r="G133" s="42"/>
      <c r="H133" s="42"/>
      <c r="I133" s="42"/>
      <c r="J133" s="42"/>
      <c r="K133" s="42"/>
      <c r="L133" s="42"/>
      <c r="M133" s="42"/>
    </row>
    <row r="134">
      <c r="A134" s="44"/>
      <c r="B134" s="40"/>
      <c r="C134" s="41"/>
      <c r="D134" s="41"/>
      <c r="E134" s="41"/>
      <c r="G134" s="42"/>
      <c r="H134" s="42"/>
      <c r="I134" s="42"/>
      <c r="J134" s="42"/>
      <c r="K134" s="42"/>
      <c r="L134" s="42"/>
      <c r="M134" s="42"/>
    </row>
    <row r="135">
      <c r="A135" s="44"/>
      <c r="B135" s="40"/>
      <c r="C135" s="41"/>
      <c r="D135" s="41"/>
      <c r="E135" s="41"/>
      <c r="G135" s="42"/>
      <c r="H135" s="42"/>
      <c r="I135" s="42"/>
      <c r="J135" s="42"/>
      <c r="K135" s="42"/>
      <c r="L135" s="42"/>
      <c r="M135" s="42"/>
    </row>
    <row r="136">
      <c r="A136" s="44"/>
      <c r="B136" s="40"/>
      <c r="C136" s="41"/>
      <c r="D136" s="41"/>
      <c r="E136" s="41"/>
      <c r="G136" s="42"/>
      <c r="H136" s="42"/>
      <c r="I136" s="42"/>
      <c r="J136" s="42"/>
      <c r="K136" s="42"/>
      <c r="L136" s="42"/>
      <c r="M136" s="42"/>
    </row>
    <row r="137">
      <c r="A137" s="44"/>
      <c r="B137" s="40"/>
      <c r="C137" s="41"/>
      <c r="D137" s="41"/>
      <c r="E137" s="41"/>
      <c r="G137" s="42"/>
      <c r="H137" s="42"/>
      <c r="I137" s="42"/>
      <c r="J137" s="42"/>
      <c r="K137" s="42"/>
      <c r="L137" s="42"/>
      <c r="M137" s="42"/>
    </row>
    <row r="138">
      <c r="A138" s="44"/>
      <c r="B138" s="40"/>
      <c r="C138" s="41"/>
      <c r="D138" s="41"/>
      <c r="E138" s="41"/>
      <c r="G138" s="42"/>
      <c r="H138" s="42"/>
      <c r="I138" s="42"/>
      <c r="J138" s="42"/>
      <c r="K138" s="42"/>
      <c r="L138" s="42"/>
      <c r="M138" s="42"/>
    </row>
    <row r="139">
      <c r="A139" s="44"/>
      <c r="B139" s="40"/>
      <c r="C139" s="41"/>
      <c r="D139" s="41"/>
      <c r="E139" s="41"/>
      <c r="G139" s="42"/>
      <c r="H139" s="42"/>
      <c r="I139" s="42"/>
      <c r="J139" s="42"/>
      <c r="K139" s="42"/>
      <c r="L139" s="42"/>
      <c r="M139" s="42"/>
    </row>
    <row r="140">
      <c r="A140" s="44"/>
      <c r="B140" s="40"/>
      <c r="C140" s="41"/>
      <c r="D140" s="41"/>
      <c r="E140" s="41"/>
      <c r="G140" s="42"/>
      <c r="H140" s="42"/>
      <c r="I140" s="42"/>
      <c r="J140" s="42"/>
      <c r="K140" s="42"/>
      <c r="L140" s="42"/>
      <c r="M140" s="42"/>
    </row>
    <row r="141">
      <c r="A141" s="44"/>
      <c r="B141" s="40"/>
      <c r="C141" s="41"/>
      <c r="D141" s="41"/>
      <c r="E141" s="41"/>
      <c r="G141" s="42"/>
      <c r="H141" s="42"/>
      <c r="I141" s="42"/>
      <c r="J141" s="42"/>
      <c r="K141" s="42"/>
      <c r="L141" s="42"/>
      <c r="M141" s="42"/>
    </row>
    <row r="142">
      <c r="A142" s="44"/>
      <c r="B142" s="40"/>
      <c r="C142" s="41"/>
      <c r="D142" s="41"/>
      <c r="E142" s="41"/>
      <c r="G142" s="42"/>
      <c r="H142" s="42"/>
      <c r="I142" s="42"/>
      <c r="J142" s="42"/>
      <c r="K142" s="42"/>
      <c r="L142" s="42"/>
      <c r="M142" s="42"/>
    </row>
    <row r="143">
      <c r="A143" s="44"/>
      <c r="B143" s="40"/>
      <c r="C143" s="41"/>
      <c r="D143" s="41"/>
      <c r="E143" s="41"/>
      <c r="G143" s="42"/>
      <c r="H143" s="42"/>
      <c r="I143" s="42"/>
      <c r="J143" s="42"/>
      <c r="K143" s="42"/>
      <c r="L143" s="42"/>
      <c r="M143" s="42"/>
    </row>
    <row r="144">
      <c r="A144" s="44"/>
      <c r="B144" s="40"/>
      <c r="C144" s="41"/>
      <c r="D144" s="41"/>
      <c r="E144" s="41"/>
      <c r="G144" s="42"/>
      <c r="H144" s="42"/>
      <c r="I144" s="42"/>
      <c r="J144" s="42"/>
      <c r="K144" s="42"/>
      <c r="L144" s="42"/>
      <c r="M144" s="42"/>
    </row>
    <row r="145">
      <c r="A145" s="44"/>
      <c r="B145" s="40"/>
      <c r="C145" s="41"/>
      <c r="D145" s="41"/>
      <c r="E145" s="41"/>
      <c r="G145" s="42"/>
      <c r="H145" s="42"/>
      <c r="I145" s="42"/>
      <c r="J145" s="42"/>
      <c r="K145" s="42"/>
      <c r="L145" s="42"/>
      <c r="M145" s="42"/>
    </row>
    <row r="146">
      <c r="A146" s="44"/>
      <c r="B146" s="40"/>
      <c r="C146" s="41"/>
      <c r="D146" s="41"/>
      <c r="E146" s="41"/>
      <c r="G146" s="42"/>
      <c r="H146" s="42"/>
      <c r="I146" s="42"/>
      <c r="J146" s="42"/>
      <c r="K146" s="42"/>
      <c r="L146" s="42"/>
      <c r="M146" s="42"/>
    </row>
    <row r="147">
      <c r="A147" s="44"/>
      <c r="B147" s="40"/>
      <c r="C147" s="41"/>
      <c r="D147" s="41"/>
      <c r="E147" s="41"/>
      <c r="G147" s="42"/>
      <c r="H147" s="42"/>
      <c r="I147" s="42"/>
      <c r="J147" s="42"/>
      <c r="K147" s="42"/>
      <c r="L147" s="42"/>
      <c r="M147" s="42"/>
    </row>
    <row r="148">
      <c r="A148" s="44"/>
      <c r="B148" s="40"/>
      <c r="C148" s="41"/>
      <c r="D148" s="41"/>
      <c r="E148" s="41"/>
      <c r="G148" s="42"/>
      <c r="H148" s="42"/>
      <c r="I148" s="42"/>
      <c r="J148" s="42"/>
      <c r="K148" s="42"/>
      <c r="L148" s="42"/>
      <c r="M148" s="42"/>
    </row>
    <row r="149">
      <c r="A149" s="44"/>
      <c r="B149" s="40"/>
      <c r="C149" s="41"/>
      <c r="D149" s="41"/>
      <c r="E149" s="41"/>
      <c r="G149" s="42"/>
      <c r="H149" s="42"/>
      <c r="I149" s="42"/>
      <c r="J149" s="42"/>
      <c r="K149" s="42"/>
      <c r="L149" s="42"/>
      <c r="M149" s="42"/>
    </row>
    <row r="150">
      <c r="A150" s="44"/>
      <c r="B150" s="40"/>
      <c r="C150" s="41"/>
      <c r="D150" s="41"/>
      <c r="E150" s="41"/>
      <c r="G150" s="42"/>
      <c r="H150" s="42"/>
      <c r="I150" s="42"/>
      <c r="J150" s="42"/>
      <c r="K150" s="42"/>
      <c r="L150" s="42"/>
      <c r="M150" s="42"/>
    </row>
    <row r="151">
      <c r="A151" s="44"/>
      <c r="B151" s="40"/>
      <c r="C151" s="41"/>
      <c r="D151" s="41"/>
      <c r="E151" s="41"/>
      <c r="G151" s="42"/>
      <c r="H151" s="42"/>
      <c r="I151" s="42"/>
      <c r="J151" s="42"/>
      <c r="K151" s="42"/>
      <c r="L151" s="42"/>
      <c r="M151" s="42"/>
    </row>
    <row r="152">
      <c r="A152" s="44"/>
      <c r="B152" s="40"/>
      <c r="C152" s="41"/>
      <c r="D152" s="41"/>
      <c r="E152" s="41"/>
      <c r="G152" s="42"/>
      <c r="H152" s="42"/>
      <c r="I152" s="42"/>
      <c r="J152" s="42"/>
      <c r="K152" s="42"/>
      <c r="L152" s="42"/>
      <c r="M152" s="42"/>
    </row>
  </sheetData>
  <autoFilter ref="$A$33:$D$106"/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49 B50:C50 B51:B95 B107:B152">
      <formula1>'Hidden list and Figures'!$A$3:$A$15</formula1>
    </dataValidation>
    <dataValidation type="custom" allowBlank="1" showDropDown="1" showInputMessage="1" prompt="Select a date" sqref="A34:A95 A107:A152">
      <formula1>OR(NOT(ISERROR(DATEVALUE(A34))), AND(ISNUMBER(A34), LEFT(CELL("format", A34))="D"))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17.25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sumif($B$20:$C$501,A6,$C$20:$C$501)</f>
        <v>4730.476667</v>
      </c>
      <c r="D6" s="17">
        <f t="shared" ref="D6:D16" si="2">B6-C6</f>
        <v>-2066.796667</v>
      </c>
      <c r="E6" s="18">
        <f t="shared" ref="E6:E17" si="3">D6/B6</f>
        <v>-0.7759177779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4200.0</v>
      </c>
    </row>
    <row r="8">
      <c r="A8" s="21" t="s">
        <v>14</v>
      </c>
      <c r="B8" s="22">
        <v>250.0</v>
      </c>
      <c r="C8" s="16">
        <f t="shared" si="1"/>
        <v>217.3</v>
      </c>
      <c r="D8" s="23">
        <f t="shared" si="2"/>
        <v>32.7</v>
      </c>
      <c r="E8" s="18">
        <f t="shared" si="3"/>
        <v>0.1308</v>
      </c>
      <c r="G8" s="64" t="s">
        <v>27</v>
      </c>
      <c r="H8" s="92">
        <f>SUM(H6:H7)</f>
        <v>4200</v>
      </c>
    </row>
    <row r="9">
      <c r="A9" s="24" t="s">
        <v>15</v>
      </c>
      <c r="B9" s="22">
        <v>400.0</v>
      </c>
      <c r="C9" s="16">
        <f t="shared" si="1"/>
        <v>647.84</v>
      </c>
      <c r="D9" s="23">
        <f t="shared" si="2"/>
        <v>-247.84</v>
      </c>
      <c r="E9" s="18">
        <f t="shared" si="3"/>
        <v>-0.6196</v>
      </c>
    </row>
    <row r="10">
      <c r="A10" s="24" t="s">
        <v>17</v>
      </c>
      <c r="B10" s="22">
        <v>400.0</v>
      </c>
      <c r="C10" s="16">
        <f t="shared" si="1"/>
        <v>648.9</v>
      </c>
      <c r="D10" s="23">
        <f t="shared" si="2"/>
        <v>-248.9</v>
      </c>
      <c r="E10" s="18">
        <f t="shared" si="3"/>
        <v>-0.62225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818.45</v>
      </c>
      <c r="D11" s="23">
        <f t="shared" si="2"/>
        <v>-618.45</v>
      </c>
      <c r="E11" s="18">
        <f t="shared" si="3"/>
        <v>-3.09225</v>
      </c>
      <c r="G11" s="19" t="s">
        <v>18</v>
      </c>
      <c r="H11" s="14">
        <f>sum(C17)</f>
        <v>8794.216667</v>
      </c>
    </row>
    <row r="12">
      <c r="A12" s="24" t="s">
        <v>79</v>
      </c>
      <c r="B12" s="22">
        <v>500.0</v>
      </c>
      <c r="C12" s="16">
        <f t="shared" si="1"/>
        <v>244.12</v>
      </c>
      <c r="D12" s="23">
        <f t="shared" si="2"/>
        <v>255.88</v>
      </c>
      <c r="E12" s="18">
        <f t="shared" si="3"/>
        <v>0.51176</v>
      </c>
      <c r="H12" s="14"/>
    </row>
    <row r="13">
      <c r="A13" s="25" t="s">
        <v>22</v>
      </c>
      <c r="B13" s="22">
        <v>200.0</v>
      </c>
      <c r="C13" s="16">
        <f t="shared" si="1"/>
        <v>430.95</v>
      </c>
      <c r="D13" s="23">
        <f t="shared" si="2"/>
        <v>-230.95</v>
      </c>
      <c r="E13" s="18">
        <f t="shared" si="3"/>
        <v>-1.15475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34.55</v>
      </c>
      <c r="D14" s="23">
        <f t="shared" si="2"/>
        <v>-34.55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830.81</v>
      </c>
      <c r="D15" s="28">
        <f t="shared" si="2"/>
        <v>-530.81</v>
      </c>
      <c r="E15" s="18">
        <f t="shared" si="3"/>
        <v>-1.769366667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190.82</v>
      </c>
      <c r="D16" s="28">
        <f t="shared" si="2"/>
        <v>-190.82</v>
      </c>
      <c r="E16" s="18" t="str">
        <f t="shared" si="3"/>
        <v>#DIV/0!</v>
      </c>
      <c r="F16" s="32"/>
      <c r="G16" s="13" t="s">
        <v>26</v>
      </c>
      <c r="H16" s="47">
        <f>SUMIF($B$20:$C$215,"Travel",$C$20:$C$215)</f>
        <v>244.12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8794.216667</v>
      </c>
      <c r="D17" s="31">
        <f>SUM(D6:D15)</f>
        <v>-3689.716667</v>
      </c>
      <c r="E17" s="18">
        <f t="shared" si="3"/>
        <v>-0.7509069916</v>
      </c>
      <c r="F17" s="36"/>
      <c r="G17" s="13" t="s">
        <v>28</v>
      </c>
      <c r="H17" s="33">
        <f>500-SUMIF($B$20:$C$215,"Travel",$C$20:$C$215)+'April 2024'!H17</f>
        <v>759.12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f>2900+1476</f>
        <v>4376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40.0</v>
      </c>
      <c r="D21" s="95" t="s">
        <v>34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41">
        <v>40.0</v>
      </c>
      <c r="D22" s="95" t="s">
        <v>35</v>
      </c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42.62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/>
      <c r="B24" s="40"/>
      <c r="C24" s="41"/>
      <c r="D24" s="95"/>
      <c r="E24" s="41"/>
      <c r="G24" s="19" t="s">
        <v>750</v>
      </c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f>77/12</f>
        <v>6.416666667</v>
      </c>
      <c r="D25" s="41" t="s">
        <v>529</v>
      </c>
      <c r="E25" s="41"/>
      <c r="F25" s="19" t="s">
        <v>751</v>
      </c>
      <c r="G25" s="42">
        <f>8.62+3758.03</f>
        <v>3766.65</v>
      </c>
      <c r="H25" s="40" t="s">
        <v>752</v>
      </c>
      <c r="I25" s="42"/>
      <c r="J25" s="40"/>
      <c r="K25" s="42"/>
      <c r="L25" s="42"/>
      <c r="M25" s="42"/>
    </row>
    <row r="26">
      <c r="A26" s="40" t="s">
        <v>32</v>
      </c>
      <c r="B26" s="40" t="s">
        <v>10</v>
      </c>
      <c r="C26" s="102">
        <f>585/6</f>
        <v>97.5</v>
      </c>
      <c r="D26" s="41" t="s">
        <v>23</v>
      </c>
      <c r="E26" s="41"/>
      <c r="F26" s="19" t="s">
        <v>753</v>
      </c>
      <c r="G26" s="40">
        <v>0.0</v>
      </c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2.87</v>
      </c>
      <c r="D27" s="41" t="s">
        <v>39</v>
      </c>
      <c r="E27" s="41"/>
      <c r="F27" s="19" t="s">
        <v>754</v>
      </c>
      <c r="G27" s="40">
        <v>965.33</v>
      </c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2.99</v>
      </c>
      <c r="D28" s="41" t="s">
        <v>40</v>
      </c>
      <c r="E28" s="41"/>
      <c r="F28" s="19" t="s">
        <v>755</v>
      </c>
      <c r="G28" s="42">
        <f>274.97+19.17+184.41+1077.59+1829.28</f>
        <v>3385.42</v>
      </c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5.83</v>
      </c>
      <c r="D29" s="41" t="s">
        <v>41</v>
      </c>
      <c r="E29" s="41"/>
      <c r="F29" s="19" t="s">
        <v>756</v>
      </c>
      <c r="G29" s="42">
        <f>27.87</f>
        <v>27.87</v>
      </c>
      <c r="H29" s="40" t="s">
        <v>757</v>
      </c>
      <c r="I29" s="42"/>
      <c r="J29" s="42"/>
      <c r="K29" s="42"/>
      <c r="L29" s="42"/>
      <c r="M29" s="42"/>
    </row>
    <row r="30">
      <c r="A30" s="40" t="s">
        <v>32</v>
      </c>
      <c r="B30" s="40" t="s">
        <v>10</v>
      </c>
      <c r="C30" s="41">
        <v>6.25</v>
      </c>
      <c r="D30" s="41" t="s">
        <v>488</v>
      </c>
      <c r="E30" s="41"/>
      <c r="F30" s="19" t="s">
        <v>758</v>
      </c>
      <c r="G30" s="40">
        <v>1388.4</v>
      </c>
      <c r="H30" s="42"/>
      <c r="I30" s="42"/>
      <c r="J30" s="42"/>
      <c r="K30" s="42"/>
      <c r="L30" s="42"/>
      <c r="M30" s="42"/>
    </row>
    <row r="31">
      <c r="A31" s="40" t="s">
        <v>32</v>
      </c>
      <c r="B31" s="40" t="s">
        <v>10</v>
      </c>
      <c r="C31" s="41">
        <v>110.0</v>
      </c>
      <c r="D31" s="41" t="s">
        <v>42</v>
      </c>
      <c r="E31" s="41"/>
      <c r="F31" s="19" t="s">
        <v>759</v>
      </c>
      <c r="G31" s="42">
        <f>SUM(G25:G30)</f>
        <v>9533.67</v>
      </c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F32" s="19" t="s">
        <v>33</v>
      </c>
      <c r="G32" s="40">
        <v>2900.0</v>
      </c>
      <c r="H32" s="42"/>
      <c r="I32" s="42"/>
      <c r="J32" s="42"/>
      <c r="K32" s="42"/>
      <c r="L32" s="42"/>
      <c r="M32" s="42"/>
    </row>
    <row r="33">
      <c r="A33" s="44"/>
      <c r="B33" s="40"/>
      <c r="C33" s="41"/>
      <c r="D33" s="41"/>
      <c r="E33" s="41"/>
      <c r="G33" s="40">
        <v>8000.0</v>
      </c>
      <c r="H33" s="42"/>
      <c r="I33" s="42"/>
      <c r="J33" s="42"/>
      <c r="K33" s="42"/>
      <c r="L33" s="42"/>
      <c r="M33" s="42"/>
    </row>
    <row r="34">
      <c r="A34" s="44">
        <v>45555.0</v>
      </c>
      <c r="B34" s="40" t="s">
        <v>17</v>
      </c>
      <c r="C34" s="41">
        <v>24.0</v>
      </c>
      <c r="D34" s="41" t="s">
        <v>799</v>
      </c>
      <c r="E34" s="19" t="s">
        <v>729</v>
      </c>
      <c r="G34" s="42"/>
      <c r="H34" s="42"/>
      <c r="I34" s="42"/>
      <c r="J34" s="42"/>
      <c r="K34" s="42"/>
      <c r="L34" s="42"/>
      <c r="M34" s="42"/>
    </row>
    <row r="35">
      <c r="A35" s="44"/>
      <c r="B35" s="40" t="s">
        <v>17</v>
      </c>
      <c r="C35" s="41">
        <v>16.0</v>
      </c>
      <c r="D35" s="41" t="s">
        <v>800</v>
      </c>
      <c r="E35" s="19" t="s">
        <v>729</v>
      </c>
      <c r="G35" s="42"/>
      <c r="H35" s="42"/>
      <c r="I35" s="42"/>
      <c r="J35" s="42"/>
      <c r="K35" s="42"/>
      <c r="L35" s="42"/>
      <c r="M35" s="42"/>
    </row>
    <row r="36">
      <c r="A36" s="44"/>
      <c r="B36" s="40" t="s">
        <v>22</v>
      </c>
      <c r="C36" s="41">
        <v>19.0</v>
      </c>
      <c r="D36" s="41" t="s">
        <v>801</v>
      </c>
      <c r="E36" s="19" t="s">
        <v>729</v>
      </c>
      <c r="G36" s="42"/>
      <c r="H36" s="42"/>
      <c r="I36" s="42"/>
      <c r="J36" s="42"/>
      <c r="K36" s="42"/>
      <c r="L36" s="42"/>
      <c r="M36" s="42"/>
    </row>
    <row r="37">
      <c r="A37" s="44"/>
      <c r="B37" s="40" t="s">
        <v>25</v>
      </c>
      <c r="C37" s="98">
        <v>20.0</v>
      </c>
      <c r="D37" s="98" t="s">
        <v>802</v>
      </c>
      <c r="E37" s="19" t="s">
        <v>729</v>
      </c>
      <c r="G37" s="42"/>
      <c r="H37" s="42"/>
      <c r="I37" s="42"/>
      <c r="J37" s="42"/>
      <c r="K37" s="42"/>
      <c r="L37" s="42"/>
      <c r="M37" s="42"/>
    </row>
    <row r="38">
      <c r="A38" s="44"/>
      <c r="B38" s="40" t="s">
        <v>25</v>
      </c>
      <c r="C38" s="93">
        <v>28.8</v>
      </c>
      <c r="D38" s="93" t="s">
        <v>803</v>
      </c>
      <c r="E38" s="19" t="s">
        <v>729</v>
      </c>
      <c r="G38" s="42"/>
      <c r="H38" s="42"/>
      <c r="I38" s="42"/>
      <c r="J38" s="42"/>
      <c r="K38" s="42"/>
      <c r="L38" s="42"/>
      <c r="M38" s="42"/>
    </row>
    <row r="39">
      <c r="A39" s="44">
        <v>45589.0</v>
      </c>
      <c r="B39" s="40" t="s">
        <v>19</v>
      </c>
      <c r="C39" s="93">
        <v>3.75</v>
      </c>
      <c r="D39" s="93" t="s">
        <v>763</v>
      </c>
      <c r="G39" s="42"/>
      <c r="H39" s="42"/>
      <c r="I39" s="42"/>
      <c r="J39" s="42"/>
      <c r="K39" s="42"/>
      <c r="L39" s="42"/>
      <c r="M39" s="42"/>
    </row>
    <row r="40">
      <c r="A40" s="44"/>
      <c r="B40" s="40" t="s">
        <v>79</v>
      </c>
      <c r="C40" s="93">
        <v>35.0</v>
      </c>
      <c r="D40" s="93" t="s">
        <v>804</v>
      </c>
      <c r="G40" s="42"/>
      <c r="H40" s="42"/>
      <c r="I40" s="42"/>
      <c r="J40" s="42"/>
      <c r="K40" s="42"/>
      <c r="L40" s="42"/>
      <c r="M40" s="42"/>
    </row>
    <row r="41">
      <c r="A41" s="44"/>
      <c r="B41" s="40" t="s">
        <v>15</v>
      </c>
      <c r="C41" s="93">
        <v>65.0</v>
      </c>
      <c r="D41" s="93" t="s">
        <v>64</v>
      </c>
      <c r="E41" s="103"/>
      <c r="G41" s="42"/>
      <c r="H41" s="42"/>
      <c r="I41" s="42"/>
      <c r="J41" s="42"/>
      <c r="K41" s="42"/>
      <c r="L41" s="42"/>
      <c r="M41" s="42"/>
    </row>
    <row r="42">
      <c r="A42" s="44"/>
      <c r="B42" s="40" t="s">
        <v>15</v>
      </c>
      <c r="C42" s="93">
        <v>1.99</v>
      </c>
      <c r="D42" s="93" t="s">
        <v>805</v>
      </c>
      <c r="E42" s="103"/>
      <c r="G42" s="42"/>
      <c r="H42" s="42"/>
      <c r="I42" s="42"/>
      <c r="J42" s="42"/>
      <c r="K42" s="42"/>
      <c r="L42" s="42"/>
      <c r="M42" s="42"/>
    </row>
    <row r="43">
      <c r="A43" s="44">
        <v>45586.0</v>
      </c>
      <c r="B43" s="40" t="s">
        <v>15</v>
      </c>
      <c r="C43" s="93">
        <f>IFERROR(__xludf.DUMMYFUNCTION("E43*-1"),201.48)</f>
        <v>201.48</v>
      </c>
      <c r="D43" s="93" t="s">
        <v>806</v>
      </c>
      <c r="E43" s="104">
        <v>-201.48</v>
      </c>
      <c r="G43" s="42"/>
      <c r="H43" s="42"/>
      <c r="I43" s="42"/>
      <c r="J43" s="42"/>
      <c r="K43" s="42"/>
      <c r="L43" s="42"/>
      <c r="M43" s="42"/>
    </row>
    <row r="44">
      <c r="A44" s="44">
        <v>45586.0</v>
      </c>
      <c r="B44" s="40" t="s">
        <v>22</v>
      </c>
      <c r="C44" s="93">
        <f>IFERROR(__xludf.DUMMYFUNCTION("E44*-1"),159.98)</f>
        <v>159.98</v>
      </c>
      <c r="D44" s="93" t="s">
        <v>806</v>
      </c>
      <c r="E44" s="104">
        <v>-159.98</v>
      </c>
      <c r="G44" s="42"/>
      <c r="H44" s="42"/>
      <c r="I44" s="42"/>
      <c r="J44" s="42"/>
      <c r="K44" s="42"/>
      <c r="L44" s="42"/>
      <c r="M44" s="42"/>
    </row>
    <row r="45">
      <c r="A45" s="44">
        <v>45586.0</v>
      </c>
      <c r="B45" s="105" t="s">
        <v>19</v>
      </c>
      <c r="C45" s="93">
        <f>IFERROR(__xludf.DUMMYFUNCTION("E45*-1"),1.25)</f>
        <v>1.25</v>
      </c>
      <c r="D45" s="93" t="s">
        <v>807</v>
      </c>
      <c r="E45" s="104">
        <v>-1.25</v>
      </c>
      <c r="G45" s="42"/>
      <c r="H45" s="42"/>
      <c r="I45" s="42"/>
      <c r="J45" s="42"/>
      <c r="K45" s="42"/>
      <c r="L45" s="42"/>
      <c r="M45" s="42"/>
    </row>
    <row r="46">
      <c r="A46" s="44">
        <v>45586.0</v>
      </c>
      <c r="B46" s="106" t="s">
        <v>17</v>
      </c>
      <c r="C46" s="93">
        <f>IFERROR(__xludf.DUMMYFUNCTION("E46*-1"),21.27)</f>
        <v>21.27</v>
      </c>
      <c r="D46" s="93" t="s">
        <v>808</v>
      </c>
      <c r="E46" s="107">
        <v>-21.27</v>
      </c>
      <c r="G46" s="42"/>
      <c r="H46" s="42"/>
      <c r="I46" s="42"/>
      <c r="J46" s="42"/>
      <c r="K46" s="42"/>
      <c r="L46" s="42"/>
      <c r="M46" s="42"/>
    </row>
    <row r="47">
      <c r="A47" s="44">
        <v>45586.0</v>
      </c>
      <c r="B47" s="106" t="s">
        <v>17</v>
      </c>
      <c r="C47" s="93">
        <f>IFERROR(__xludf.DUMMYFUNCTION("E47*-1"),15.14)</f>
        <v>15.14</v>
      </c>
      <c r="D47" s="93" t="s">
        <v>809</v>
      </c>
      <c r="E47" s="107">
        <v>-15.14</v>
      </c>
      <c r="G47" s="42"/>
      <c r="H47" s="42"/>
      <c r="I47" s="42"/>
      <c r="J47" s="42"/>
      <c r="K47" s="42"/>
      <c r="L47" s="42"/>
      <c r="M47" s="42"/>
    </row>
    <row r="48">
      <c r="A48" s="44">
        <v>45586.0</v>
      </c>
      <c r="B48" s="105" t="s">
        <v>19</v>
      </c>
      <c r="C48" s="93">
        <f>IFERROR(__xludf.DUMMYFUNCTION("E48*-1"),1.25)</f>
        <v>1.25</v>
      </c>
      <c r="D48" s="93" t="s">
        <v>807</v>
      </c>
      <c r="E48" s="107">
        <v>-1.25</v>
      </c>
      <c r="G48" s="42"/>
      <c r="H48" s="42"/>
      <c r="I48" s="42"/>
      <c r="J48" s="42"/>
      <c r="K48" s="42"/>
      <c r="L48" s="42"/>
      <c r="M48" s="42"/>
    </row>
    <row r="49">
      <c r="A49" s="44">
        <v>45586.0</v>
      </c>
      <c r="B49" s="105" t="s">
        <v>19</v>
      </c>
      <c r="C49" s="93">
        <f>IFERROR(__xludf.DUMMYFUNCTION("E49*-1"),1.75)</f>
        <v>1.75</v>
      </c>
      <c r="D49" s="93" t="s">
        <v>807</v>
      </c>
      <c r="E49" s="107">
        <v>-1.75</v>
      </c>
      <c r="G49" s="42"/>
      <c r="H49" s="42"/>
      <c r="I49" s="42"/>
      <c r="J49" s="42"/>
      <c r="K49" s="42"/>
      <c r="L49" s="42"/>
      <c r="M49" s="42"/>
    </row>
    <row r="50">
      <c r="A50" s="44">
        <v>45586.0</v>
      </c>
      <c r="B50" s="105" t="s">
        <v>19</v>
      </c>
      <c r="C50" s="93">
        <f>IFERROR(__xludf.DUMMYFUNCTION("E50*-1"),1.75)</f>
        <v>1.75</v>
      </c>
      <c r="D50" s="93" t="s">
        <v>807</v>
      </c>
      <c r="E50" s="107">
        <v>-1.75</v>
      </c>
      <c r="G50" s="42"/>
      <c r="H50" s="42"/>
      <c r="I50" s="42"/>
      <c r="J50" s="42"/>
      <c r="K50" s="42"/>
      <c r="L50" s="42"/>
      <c r="M50" s="42"/>
    </row>
    <row r="51">
      <c r="A51" s="44">
        <v>45585.0</v>
      </c>
      <c r="B51" s="105" t="s">
        <v>25</v>
      </c>
      <c r="C51" s="93">
        <f>IFERROR(__xludf.DUMMYFUNCTION("E51*-1"),40.0)</f>
        <v>40</v>
      </c>
      <c r="D51" s="93" t="s">
        <v>810</v>
      </c>
      <c r="E51" s="107">
        <v>-40.0</v>
      </c>
      <c r="G51" s="42"/>
      <c r="H51" s="42"/>
      <c r="I51" s="42"/>
      <c r="J51" s="42"/>
      <c r="K51" s="42"/>
      <c r="L51" s="42"/>
      <c r="M51" s="42"/>
    </row>
    <row r="52">
      <c r="A52" s="44">
        <v>45585.0</v>
      </c>
      <c r="B52" s="105" t="s">
        <v>22</v>
      </c>
      <c r="C52" s="93">
        <f>IFERROR(__xludf.DUMMYFUNCTION("E52*-1"),23.99)</f>
        <v>23.99</v>
      </c>
      <c r="D52" s="93" t="s">
        <v>811</v>
      </c>
      <c r="E52" s="107">
        <v>-23.99</v>
      </c>
      <c r="G52" s="42"/>
      <c r="H52" s="42"/>
      <c r="I52" s="42"/>
      <c r="J52" s="42"/>
      <c r="K52" s="42"/>
      <c r="L52" s="42"/>
      <c r="M52" s="42"/>
    </row>
    <row r="53">
      <c r="A53" s="44">
        <v>45585.0</v>
      </c>
      <c r="B53" s="106" t="s">
        <v>17</v>
      </c>
      <c r="C53" s="93">
        <v>20.0</v>
      </c>
      <c r="D53" s="93" t="s">
        <v>812</v>
      </c>
      <c r="E53" s="107">
        <v>-184.85</v>
      </c>
      <c r="G53" s="42"/>
      <c r="H53" s="42"/>
      <c r="I53" s="42"/>
      <c r="J53" s="42"/>
      <c r="K53" s="42"/>
      <c r="L53" s="42"/>
      <c r="M53" s="42"/>
    </row>
    <row r="54">
      <c r="A54" s="44">
        <v>45582.0</v>
      </c>
      <c r="B54" s="105" t="s">
        <v>22</v>
      </c>
      <c r="C54" s="93">
        <f>IFERROR(__xludf.DUMMYFUNCTION("E54*-1"),2.4)</f>
        <v>2.4</v>
      </c>
      <c r="D54" s="93" t="s">
        <v>813</v>
      </c>
      <c r="E54" s="107">
        <v>-2.4</v>
      </c>
      <c r="G54" s="42"/>
      <c r="H54" s="42"/>
      <c r="I54" s="42"/>
      <c r="J54" s="42"/>
      <c r="K54" s="42"/>
      <c r="L54" s="42"/>
      <c r="M54" s="42"/>
    </row>
    <row r="55">
      <c r="A55" s="44">
        <v>45582.0</v>
      </c>
      <c r="B55" s="40" t="s">
        <v>22</v>
      </c>
      <c r="C55" s="93">
        <f>IFERROR(__xludf.DUMMYFUNCTION("E55*-1"),159.98)</f>
        <v>159.98</v>
      </c>
      <c r="D55" s="93" t="s">
        <v>814</v>
      </c>
      <c r="E55" s="107">
        <v>-159.98</v>
      </c>
      <c r="G55" s="42"/>
      <c r="H55" s="42"/>
      <c r="I55" s="42"/>
      <c r="J55" s="42"/>
      <c r="K55" s="42"/>
      <c r="L55" s="42"/>
      <c r="M55" s="42"/>
    </row>
    <row r="56">
      <c r="A56" s="44">
        <v>45582.0</v>
      </c>
      <c r="B56" s="40" t="s">
        <v>22</v>
      </c>
      <c r="C56" s="93">
        <f>IFERROR(__xludf.DUMMYFUNCTION("E56*-1"),47.5)</f>
        <v>47.5</v>
      </c>
      <c r="D56" s="93" t="s">
        <v>811</v>
      </c>
      <c r="E56" s="107">
        <v>-47.5</v>
      </c>
      <c r="G56" s="42"/>
      <c r="H56" s="42"/>
      <c r="I56" s="42"/>
      <c r="J56" s="42"/>
      <c r="K56" s="42"/>
      <c r="L56" s="42"/>
      <c r="M56" s="42"/>
    </row>
    <row r="57">
      <c r="A57" s="44">
        <v>45581.0</v>
      </c>
      <c r="B57" s="40" t="s">
        <v>15</v>
      </c>
      <c r="C57" s="93">
        <f>IFERROR(__xludf.DUMMYFUNCTION("E57*-1"),20.99)</f>
        <v>20.99</v>
      </c>
      <c r="D57" s="93" t="s">
        <v>815</v>
      </c>
      <c r="E57" s="107">
        <v>-20.99</v>
      </c>
      <c r="G57" s="42"/>
      <c r="H57" s="42"/>
      <c r="I57" s="42"/>
      <c r="J57" s="42"/>
      <c r="K57" s="42"/>
      <c r="L57" s="42"/>
      <c r="M57" s="42"/>
    </row>
    <row r="58">
      <c r="A58" s="44">
        <v>45581.0</v>
      </c>
      <c r="B58" s="105" t="s">
        <v>25</v>
      </c>
      <c r="C58" s="93">
        <f>IFERROR(__xludf.DUMMYFUNCTION("E58*-1"),153.99)</f>
        <v>153.99</v>
      </c>
      <c r="D58" s="93" t="s">
        <v>816</v>
      </c>
      <c r="E58" s="107">
        <v>-153.99</v>
      </c>
      <c r="G58" s="42"/>
      <c r="H58" s="42"/>
      <c r="I58" s="42"/>
      <c r="J58" s="42"/>
      <c r="K58" s="42"/>
      <c r="L58" s="42"/>
      <c r="M58" s="42"/>
    </row>
    <row r="59">
      <c r="A59" s="44">
        <v>45579.0</v>
      </c>
      <c r="B59" s="106" t="s">
        <v>17</v>
      </c>
      <c r="C59" s="93">
        <f>IFERROR(__xludf.DUMMYFUNCTION("E59*-1"),9.08)</f>
        <v>9.08</v>
      </c>
      <c r="D59" s="93" t="s">
        <v>817</v>
      </c>
      <c r="E59" s="107">
        <v>-9.08</v>
      </c>
      <c r="G59" s="42"/>
      <c r="H59" s="42"/>
      <c r="I59" s="42"/>
      <c r="J59" s="42"/>
      <c r="K59" s="42"/>
      <c r="L59" s="42"/>
      <c r="M59" s="42"/>
    </row>
    <row r="60">
      <c r="A60" s="44">
        <v>45579.0</v>
      </c>
      <c r="B60" s="106" t="s">
        <v>17</v>
      </c>
      <c r="C60" s="93">
        <f>IFERROR(__xludf.DUMMYFUNCTION("E60*-1"),25.44)</f>
        <v>25.44</v>
      </c>
      <c r="D60" s="41" t="s">
        <v>817</v>
      </c>
      <c r="E60" s="107">
        <v>-25.44</v>
      </c>
      <c r="G60" s="42"/>
      <c r="H60" s="42"/>
      <c r="I60" s="42"/>
      <c r="J60" s="42"/>
      <c r="K60" s="42"/>
      <c r="L60" s="42"/>
      <c r="M60" s="42"/>
    </row>
    <row r="61">
      <c r="A61" s="44">
        <v>45579.0</v>
      </c>
      <c r="B61" s="106" t="s">
        <v>17</v>
      </c>
      <c r="C61" s="93">
        <v>19.0</v>
      </c>
      <c r="D61" s="41" t="s">
        <v>818</v>
      </c>
      <c r="E61" s="107">
        <v>-28.09</v>
      </c>
      <c r="G61" s="42"/>
      <c r="H61" s="42"/>
      <c r="I61" s="42"/>
      <c r="J61" s="42"/>
      <c r="K61" s="42"/>
      <c r="L61" s="42"/>
      <c r="M61" s="42"/>
    </row>
    <row r="62">
      <c r="A62" s="44">
        <v>45579.0</v>
      </c>
      <c r="B62" s="105" t="s">
        <v>14</v>
      </c>
      <c r="C62" s="93">
        <f>IFERROR(__xludf.DUMMYFUNCTION("E62*-1"),1.1)</f>
        <v>1.1</v>
      </c>
      <c r="D62" s="41" t="s">
        <v>819</v>
      </c>
      <c r="E62" s="107">
        <v>-1.1</v>
      </c>
      <c r="G62" s="42"/>
      <c r="H62" s="42"/>
      <c r="I62" s="42"/>
      <c r="J62" s="42"/>
      <c r="K62" s="42"/>
      <c r="L62" s="42"/>
      <c r="M62" s="42"/>
    </row>
    <row r="63">
      <c r="A63" s="44">
        <v>45579.0</v>
      </c>
      <c r="B63" s="105" t="s">
        <v>25</v>
      </c>
      <c r="C63" s="93">
        <v>20.0</v>
      </c>
      <c r="D63" s="41" t="s">
        <v>820</v>
      </c>
      <c r="E63" s="107">
        <v>-30.0</v>
      </c>
      <c r="G63" s="42"/>
      <c r="H63" s="42"/>
      <c r="I63" s="42"/>
      <c r="J63" s="42"/>
      <c r="K63" s="42"/>
      <c r="L63" s="42"/>
      <c r="M63" s="42"/>
    </row>
    <row r="64">
      <c r="A64" s="44">
        <v>45578.0</v>
      </c>
      <c r="B64" s="106" t="s">
        <v>17</v>
      </c>
      <c r="C64" s="93">
        <f>IFERROR(__xludf.DUMMYFUNCTION("E64*-1"),10.69)</f>
        <v>10.69</v>
      </c>
      <c r="D64" s="41" t="s">
        <v>821</v>
      </c>
      <c r="E64" s="107">
        <v>-10.69</v>
      </c>
      <c r="G64" s="42"/>
      <c r="H64" s="42"/>
      <c r="I64" s="42"/>
      <c r="J64" s="42"/>
      <c r="K64" s="42"/>
      <c r="L64" s="42"/>
      <c r="M64" s="42"/>
    </row>
    <row r="65">
      <c r="A65" s="44">
        <v>45578.0</v>
      </c>
      <c r="B65" s="105" t="s">
        <v>25</v>
      </c>
      <c r="C65" s="93">
        <f>IFERROR(__xludf.DUMMYFUNCTION("E65*-1"),81.99)</f>
        <v>81.99</v>
      </c>
      <c r="D65" s="41" t="s">
        <v>822</v>
      </c>
      <c r="E65" s="107">
        <v>-81.99</v>
      </c>
      <c r="F65" s="19" t="s">
        <v>632</v>
      </c>
      <c r="G65" s="99">
        <v>36.3</v>
      </c>
      <c r="H65" s="42"/>
      <c r="I65" s="42"/>
      <c r="J65" s="42"/>
      <c r="K65" s="42"/>
      <c r="L65" s="42"/>
      <c r="M65" s="42"/>
    </row>
    <row r="66">
      <c r="A66" s="44">
        <v>45578.0</v>
      </c>
      <c r="B66" s="106" t="s">
        <v>17</v>
      </c>
      <c r="C66" s="93">
        <v>60.0</v>
      </c>
      <c r="D66" s="41" t="s">
        <v>823</v>
      </c>
      <c r="E66" s="107">
        <v>-91.44</v>
      </c>
      <c r="G66" s="42"/>
      <c r="H66" s="42"/>
      <c r="I66" s="42"/>
      <c r="J66" s="42"/>
      <c r="K66" s="42"/>
      <c r="L66" s="42"/>
      <c r="M66" s="42"/>
    </row>
    <row r="67">
      <c r="A67" s="44">
        <v>45578.0</v>
      </c>
      <c r="B67" s="106" t="s">
        <v>15</v>
      </c>
      <c r="C67" s="93">
        <f>IFERROR(__xludf.DUMMYFUNCTION("E67*-1"),79.99)</f>
        <v>79.99</v>
      </c>
      <c r="D67" s="41" t="s">
        <v>814</v>
      </c>
      <c r="E67" s="107">
        <v>-79.99</v>
      </c>
      <c r="G67" s="42"/>
      <c r="H67" s="42"/>
      <c r="I67" s="42"/>
      <c r="J67" s="42"/>
      <c r="K67" s="42"/>
      <c r="L67" s="42"/>
      <c r="M67" s="42"/>
    </row>
    <row r="68">
      <c r="A68" s="44">
        <v>45578.0</v>
      </c>
      <c r="B68" s="105" t="s">
        <v>25</v>
      </c>
      <c r="C68" s="93">
        <f>IFERROR(__xludf.DUMMYFUNCTION("E68*-1"),120.75)</f>
        <v>120.75</v>
      </c>
      <c r="D68" s="41" t="s">
        <v>824</v>
      </c>
      <c r="E68" s="107">
        <v>-120.75</v>
      </c>
      <c r="G68" s="42"/>
      <c r="H68" s="42"/>
      <c r="I68" s="42"/>
      <c r="J68" s="42"/>
      <c r="K68" s="42"/>
      <c r="L68" s="42"/>
      <c r="M68" s="42"/>
    </row>
    <row r="69">
      <c r="A69" s="44">
        <v>45576.0</v>
      </c>
      <c r="B69" s="105" t="s">
        <v>19</v>
      </c>
      <c r="C69" s="93">
        <f>IFERROR(__xludf.DUMMYFUNCTION("E69*-1"),1.75)</f>
        <v>1.75</v>
      </c>
      <c r="D69" s="41" t="s">
        <v>807</v>
      </c>
      <c r="E69" s="107">
        <v>-1.75</v>
      </c>
      <c r="G69" s="42"/>
      <c r="H69" s="42"/>
      <c r="I69" s="42"/>
      <c r="J69" s="42"/>
      <c r="K69" s="42"/>
      <c r="L69" s="42"/>
      <c r="M69" s="42"/>
    </row>
    <row r="70">
      <c r="A70" s="44">
        <v>45576.0</v>
      </c>
      <c r="B70" s="105" t="s">
        <v>19</v>
      </c>
      <c r="C70" s="93">
        <f>IFERROR(__xludf.DUMMYFUNCTION("E70*-1"),1.25)</f>
        <v>1.25</v>
      </c>
      <c r="D70" s="41" t="s">
        <v>807</v>
      </c>
      <c r="E70" s="107">
        <v>-1.25</v>
      </c>
      <c r="G70" s="42"/>
      <c r="H70" s="42"/>
      <c r="I70" s="42"/>
      <c r="J70" s="42"/>
      <c r="K70" s="42"/>
      <c r="L70" s="42"/>
      <c r="M70" s="42"/>
    </row>
    <row r="71">
      <c r="A71" s="44">
        <v>45576.0</v>
      </c>
      <c r="B71" s="105" t="s">
        <v>19</v>
      </c>
      <c r="C71" s="93">
        <f>IFERROR(__xludf.DUMMYFUNCTION("E71*-1"),1.25)</f>
        <v>1.25</v>
      </c>
      <c r="D71" s="41" t="s">
        <v>807</v>
      </c>
      <c r="E71" s="107">
        <v>-1.25</v>
      </c>
      <c r="G71" s="42"/>
      <c r="H71" s="42"/>
      <c r="I71" s="42"/>
      <c r="J71" s="42"/>
      <c r="K71" s="42"/>
      <c r="L71" s="42"/>
      <c r="M71" s="42"/>
    </row>
    <row r="72">
      <c r="A72" s="44">
        <v>45576.0</v>
      </c>
      <c r="B72" s="106" t="s">
        <v>17</v>
      </c>
      <c r="C72" s="93">
        <f>IFERROR(__xludf.DUMMYFUNCTION("E72*-1"),9.6)</f>
        <v>9.6</v>
      </c>
      <c r="D72" s="41" t="s">
        <v>825</v>
      </c>
      <c r="E72" s="107">
        <v>-9.6</v>
      </c>
      <c r="G72" s="42"/>
      <c r="H72" s="42"/>
      <c r="I72" s="42"/>
      <c r="J72" s="42"/>
      <c r="K72" s="42"/>
      <c r="L72" s="42"/>
      <c r="M72" s="42"/>
    </row>
    <row r="73">
      <c r="A73" s="44">
        <v>45576.0</v>
      </c>
      <c r="B73" s="105" t="s">
        <v>19</v>
      </c>
      <c r="C73" s="93">
        <f>IFERROR(__xludf.DUMMYFUNCTION("E73*-1"),1.25)</f>
        <v>1.25</v>
      </c>
      <c r="D73" s="41" t="s">
        <v>807</v>
      </c>
      <c r="E73" s="107">
        <v>-1.25</v>
      </c>
      <c r="G73" s="42"/>
      <c r="H73" s="42"/>
      <c r="I73" s="42"/>
      <c r="J73" s="42"/>
      <c r="K73" s="42"/>
      <c r="L73" s="42"/>
      <c r="M73" s="42"/>
    </row>
    <row r="74">
      <c r="A74" s="44">
        <v>45576.0</v>
      </c>
      <c r="B74" s="105" t="s">
        <v>19</v>
      </c>
      <c r="C74" s="93">
        <f>IFERROR(__xludf.DUMMYFUNCTION("E74*-1"),1.25)</f>
        <v>1.25</v>
      </c>
      <c r="D74" s="41" t="s">
        <v>807</v>
      </c>
      <c r="E74" s="107">
        <v>-1.25</v>
      </c>
      <c r="G74" s="42"/>
      <c r="H74" s="42"/>
      <c r="I74" s="42"/>
      <c r="J74" s="42"/>
      <c r="K74" s="42"/>
      <c r="L74" s="42"/>
      <c r="M74" s="42"/>
    </row>
    <row r="75">
      <c r="A75" s="44">
        <v>45573.0</v>
      </c>
      <c r="B75" s="105" t="s">
        <v>22</v>
      </c>
      <c r="C75" s="93">
        <f>IFERROR(__xludf.DUMMYFUNCTION("E75*-1"),2.9)</f>
        <v>2.9</v>
      </c>
      <c r="D75" s="41" t="s">
        <v>826</v>
      </c>
      <c r="E75" s="107">
        <v>-2.9</v>
      </c>
      <c r="G75" s="42"/>
      <c r="H75" s="42"/>
      <c r="I75" s="42"/>
      <c r="J75" s="42"/>
      <c r="K75" s="42"/>
      <c r="L75" s="42"/>
      <c r="M75" s="42"/>
    </row>
    <row r="76">
      <c r="A76" s="44">
        <v>45573.0</v>
      </c>
      <c r="B76" s="105" t="s">
        <v>25</v>
      </c>
      <c r="C76" s="93">
        <f>IFERROR(__xludf.DUMMYFUNCTION("E76*-1"),30.0)</f>
        <v>30</v>
      </c>
      <c r="D76" s="41" t="s">
        <v>827</v>
      </c>
      <c r="E76" s="107">
        <v>-30.0</v>
      </c>
      <c r="G76" s="42"/>
      <c r="H76" s="42"/>
      <c r="I76" s="42"/>
      <c r="J76" s="42"/>
      <c r="K76" s="42"/>
      <c r="L76" s="42"/>
      <c r="M76" s="42"/>
    </row>
    <row r="77">
      <c r="A77" s="44">
        <v>45573.0</v>
      </c>
      <c r="B77" s="105" t="s">
        <v>22</v>
      </c>
      <c r="C77" s="93">
        <f>IFERROR(__xludf.DUMMYFUNCTION("E77*-1"),2.9)</f>
        <v>2.9</v>
      </c>
      <c r="D77" s="41" t="s">
        <v>826</v>
      </c>
      <c r="E77" s="107">
        <v>-2.9</v>
      </c>
      <c r="G77" s="42"/>
      <c r="H77" s="42"/>
      <c r="I77" s="42"/>
      <c r="J77" s="42"/>
      <c r="K77" s="42"/>
      <c r="L77" s="42"/>
      <c r="M77" s="42"/>
    </row>
    <row r="78">
      <c r="A78" s="44">
        <v>45573.0</v>
      </c>
      <c r="B78" s="105" t="s">
        <v>22</v>
      </c>
      <c r="C78" s="93">
        <f>IFERROR(__xludf.DUMMYFUNCTION("E78*-1"),2.75)</f>
        <v>2.75</v>
      </c>
      <c r="D78" s="41" t="s">
        <v>828</v>
      </c>
      <c r="E78" s="107">
        <v>-2.75</v>
      </c>
      <c r="G78" s="42"/>
      <c r="H78" s="42"/>
      <c r="I78" s="42"/>
      <c r="J78" s="42"/>
      <c r="K78" s="42"/>
      <c r="L78" s="42"/>
      <c r="M78" s="42"/>
    </row>
    <row r="79">
      <c r="A79" s="44">
        <v>45572.0</v>
      </c>
      <c r="B79" s="105" t="s">
        <v>22</v>
      </c>
      <c r="C79" s="93">
        <f>IFERROR(__xludf.DUMMYFUNCTION("E79*-1"),2.9)</f>
        <v>2.9</v>
      </c>
      <c r="D79" s="41" t="s">
        <v>826</v>
      </c>
      <c r="E79" s="107">
        <v>-2.9</v>
      </c>
      <c r="G79" s="42"/>
      <c r="H79" s="42"/>
      <c r="I79" s="42"/>
      <c r="J79" s="42"/>
      <c r="K79" s="42"/>
      <c r="L79" s="42"/>
      <c r="M79" s="42"/>
    </row>
    <row r="80">
      <c r="A80" s="44">
        <v>45572.0</v>
      </c>
      <c r="B80" s="105" t="s">
        <v>22</v>
      </c>
      <c r="C80" s="93">
        <f>IFERROR(__xludf.DUMMYFUNCTION("E80*-1"),2.75)</f>
        <v>2.75</v>
      </c>
      <c r="D80" s="41" t="s">
        <v>828</v>
      </c>
      <c r="E80" s="107">
        <v>-2.75</v>
      </c>
      <c r="G80" s="42"/>
      <c r="H80" s="42"/>
      <c r="I80" s="42"/>
      <c r="J80" s="42"/>
      <c r="K80" s="42"/>
      <c r="L80" s="42"/>
      <c r="M80" s="42"/>
    </row>
    <row r="81">
      <c r="A81" s="44">
        <v>45572.0</v>
      </c>
      <c r="B81" s="106" t="s">
        <v>17</v>
      </c>
      <c r="C81" s="93">
        <f>IFERROR(__xludf.DUMMYFUNCTION("E81*-1"),13.25)</f>
        <v>13.25</v>
      </c>
      <c r="D81" s="41" t="s">
        <v>829</v>
      </c>
      <c r="E81" s="107">
        <v>-13.25</v>
      </c>
      <c r="G81" s="42"/>
      <c r="H81" s="42"/>
      <c r="I81" s="42"/>
      <c r="J81" s="42"/>
      <c r="K81" s="42"/>
      <c r="L81" s="42"/>
      <c r="M81" s="42"/>
    </row>
    <row r="82">
      <c r="A82" s="44">
        <v>45572.0</v>
      </c>
      <c r="B82" s="105" t="s">
        <v>19</v>
      </c>
      <c r="C82" s="93">
        <f>IFERROR(__xludf.DUMMYFUNCTION("E82*-1"),28.27)</f>
        <v>28.27</v>
      </c>
      <c r="D82" s="41" t="s">
        <v>830</v>
      </c>
      <c r="E82" s="107">
        <v>-28.27</v>
      </c>
      <c r="G82" s="42"/>
      <c r="H82" s="42"/>
      <c r="I82" s="42"/>
      <c r="J82" s="42"/>
      <c r="K82" s="42"/>
      <c r="L82" s="42"/>
      <c r="M82" s="42"/>
    </row>
    <row r="83">
      <c r="A83" s="44">
        <v>45571.0</v>
      </c>
      <c r="B83" s="105" t="s">
        <v>79</v>
      </c>
      <c r="C83" s="93">
        <f>IFERROR(__xludf.DUMMYFUNCTION("E83*-1"),51.99)</f>
        <v>51.99</v>
      </c>
      <c r="D83" s="41" t="s">
        <v>831</v>
      </c>
      <c r="E83" s="107">
        <v>-51.99</v>
      </c>
      <c r="G83" s="42"/>
      <c r="H83" s="42"/>
      <c r="I83" s="42"/>
      <c r="J83" s="42"/>
      <c r="K83" s="42"/>
      <c r="L83" s="42"/>
      <c r="M83" s="42"/>
    </row>
    <row r="84">
      <c r="A84" s="44">
        <v>45571.0</v>
      </c>
      <c r="B84" s="106" t="s">
        <v>17</v>
      </c>
      <c r="C84" s="93">
        <v>15.5</v>
      </c>
      <c r="D84" s="41" t="s">
        <v>832</v>
      </c>
      <c r="E84" s="107">
        <v>-31.03</v>
      </c>
      <c r="G84" s="42"/>
      <c r="H84" s="42"/>
      <c r="I84" s="42"/>
      <c r="J84" s="42"/>
      <c r="K84" s="42"/>
      <c r="L84" s="42"/>
      <c r="M84" s="42"/>
    </row>
    <row r="85">
      <c r="A85" s="44">
        <v>45571.0</v>
      </c>
      <c r="B85" s="106" t="s">
        <v>17</v>
      </c>
      <c r="C85" s="93">
        <f>IFERROR(__xludf.DUMMYFUNCTION("E85*-1"),53.58)</f>
        <v>53.58</v>
      </c>
      <c r="D85" s="41" t="s">
        <v>833</v>
      </c>
      <c r="E85" s="107">
        <v>-53.58</v>
      </c>
      <c r="G85" s="42"/>
      <c r="H85" s="42"/>
      <c r="I85" s="42"/>
      <c r="J85" s="42"/>
      <c r="K85" s="42"/>
      <c r="L85" s="42"/>
      <c r="M85" s="42"/>
    </row>
    <row r="86">
      <c r="A86" s="44">
        <v>45571.0</v>
      </c>
      <c r="B86" s="105" t="s">
        <v>22</v>
      </c>
      <c r="C86" s="93">
        <f>IFERROR(__xludf.DUMMYFUNCTION("E86*-1"),1.5)</f>
        <v>1.5</v>
      </c>
      <c r="D86" s="41" t="s">
        <v>834</v>
      </c>
      <c r="E86" s="107">
        <v>-1.5</v>
      </c>
      <c r="G86" s="42"/>
      <c r="H86" s="42"/>
      <c r="I86" s="42"/>
      <c r="J86" s="42"/>
      <c r="K86" s="42"/>
      <c r="L86" s="42"/>
      <c r="M86" s="42"/>
    </row>
    <row r="87">
      <c r="A87" s="44">
        <v>45571.0</v>
      </c>
      <c r="B87" s="106" t="s">
        <v>17</v>
      </c>
      <c r="C87" s="93">
        <f>IFERROR(__xludf.DUMMYFUNCTION("E87*-1"),12.84)</f>
        <v>12.84</v>
      </c>
      <c r="D87" s="41" t="s">
        <v>835</v>
      </c>
      <c r="E87" s="107">
        <v>-12.84</v>
      </c>
      <c r="G87" s="42"/>
      <c r="H87" s="42"/>
      <c r="I87" s="42"/>
      <c r="J87" s="42"/>
      <c r="K87" s="42"/>
      <c r="L87" s="42"/>
      <c r="M87" s="42"/>
    </row>
    <row r="88">
      <c r="A88" s="44">
        <v>45569.0</v>
      </c>
      <c r="B88" s="105" t="s">
        <v>22</v>
      </c>
      <c r="C88" s="93">
        <f>IFERROR(__xludf.DUMMYFUNCTION("E88*-1"),2.4)</f>
        <v>2.4</v>
      </c>
      <c r="D88" s="41" t="s">
        <v>813</v>
      </c>
      <c r="E88" s="107">
        <v>-2.4</v>
      </c>
      <c r="G88" s="42"/>
      <c r="H88" s="42"/>
      <c r="I88" s="42"/>
      <c r="J88" s="42"/>
      <c r="K88" s="42"/>
      <c r="L88" s="42"/>
      <c r="M88" s="42"/>
    </row>
    <row r="89">
      <c r="A89" s="44">
        <v>45568.0</v>
      </c>
      <c r="B89" s="105" t="s">
        <v>19</v>
      </c>
      <c r="C89" s="93">
        <f>IFERROR(__xludf.DUMMYFUNCTION("E89*-1"),1.25)</f>
        <v>1.25</v>
      </c>
      <c r="D89" s="41" t="s">
        <v>807</v>
      </c>
      <c r="E89" s="107">
        <v>-1.25</v>
      </c>
      <c r="G89" s="42"/>
      <c r="H89" s="42"/>
      <c r="I89" s="42"/>
      <c r="J89" s="42"/>
      <c r="K89" s="42"/>
      <c r="L89" s="42"/>
      <c r="M89" s="42"/>
    </row>
    <row r="90">
      <c r="A90" s="44">
        <v>45568.0</v>
      </c>
      <c r="B90" s="105" t="s">
        <v>24</v>
      </c>
      <c r="C90" s="93">
        <f>IFERROR(__xludf.DUMMYFUNCTION("E90*-1"),25.95)</f>
        <v>25.95</v>
      </c>
      <c r="D90" s="41" t="s">
        <v>836</v>
      </c>
      <c r="E90" s="107">
        <v>-25.95</v>
      </c>
      <c r="G90" s="42"/>
      <c r="H90" s="42"/>
      <c r="I90" s="42"/>
      <c r="J90" s="42"/>
      <c r="K90" s="42"/>
      <c r="L90" s="42"/>
      <c r="M90" s="42"/>
    </row>
    <row r="91">
      <c r="A91" s="44">
        <v>45568.0</v>
      </c>
      <c r="B91" s="105" t="s">
        <v>19</v>
      </c>
      <c r="C91" s="93">
        <f>IFERROR(__xludf.DUMMYFUNCTION("E91*-1"),1.25)</f>
        <v>1.25</v>
      </c>
      <c r="D91" s="41" t="s">
        <v>807</v>
      </c>
      <c r="E91" s="107">
        <v>-1.25</v>
      </c>
      <c r="G91" s="42"/>
      <c r="H91" s="42"/>
      <c r="I91" s="42"/>
      <c r="J91" s="42"/>
      <c r="K91" s="42"/>
      <c r="L91" s="42"/>
      <c r="M91" s="42"/>
    </row>
    <row r="92">
      <c r="A92" s="44">
        <v>45568.0</v>
      </c>
      <c r="B92" s="105" t="s">
        <v>24</v>
      </c>
      <c r="C92" s="93">
        <f>IFERROR(__xludf.DUMMYFUNCTION("E92*-1"),3.95)</f>
        <v>3.95</v>
      </c>
      <c r="D92" s="41" t="s">
        <v>836</v>
      </c>
      <c r="E92" s="107">
        <v>-3.95</v>
      </c>
      <c r="G92" s="42"/>
      <c r="H92" s="42"/>
      <c r="I92" s="42"/>
      <c r="J92" s="42"/>
      <c r="K92" s="42"/>
      <c r="L92" s="42"/>
      <c r="M92" s="42"/>
    </row>
    <row r="93">
      <c r="A93" s="44">
        <v>45568.0</v>
      </c>
      <c r="B93" s="105" t="s">
        <v>19</v>
      </c>
      <c r="C93" s="93">
        <f>IFERROR(__xludf.DUMMYFUNCTION("E93*-1"),1.25)</f>
        <v>1.25</v>
      </c>
      <c r="D93" s="41" t="s">
        <v>807</v>
      </c>
      <c r="E93" s="107">
        <v>-1.25</v>
      </c>
      <c r="G93" s="42"/>
      <c r="H93" s="42"/>
      <c r="I93" s="42"/>
      <c r="J93" s="42"/>
      <c r="K93" s="42"/>
      <c r="L93" s="42"/>
      <c r="M93" s="42"/>
    </row>
    <row r="94">
      <c r="A94" s="44">
        <v>45568.0</v>
      </c>
      <c r="B94" s="106" t="s">
        <v>17</v>
      </c>
      <c r="C94" s="93">
        <f>IFERROR(__xludf.DUMMYFUNCTION("E94*-1"),55.88)</f>
        <v>55.88</v>
      </c>
      <c r="D94" s="41" t="s">
        <v>837</v>
      </c>
      <c r="E94" s="107">
        <v>-55.88</v>
      </c>
      <c r="G94" s="42"/>
      <c r="H94" s="42"/>
      <c r="I94" s="42"/>
      <c r="J94" s="42"/>
      <c r="K94" s="42"/>
      <c r="L94" s="42"/>
      <c r="M94" s="42"/>
    </row>
    <row r="95">
      <c r="A95" s="44">
        <v>45567.0</v>
      </c>
      <c r="B95" s="106" t="s">
        <v>17</v>
      </c>
      <c r="C95" s="93">
        <f>IFERROR(__xludf.DUMMYFUNCTION("E95*-1"),25.02)</f>
        <v>25.02</v>
      </c>
      <c r="D95" s="41" t="s">
        <v>817</v>
      </c>
      <c r="E95" s="107">
        <v>-25.02</v>
      </c>
      <c r="G95" s="42"/>
      <c r="H95" s="42"/>
      <c r="I95" s="42"/>
      <c r="J95" s="42"/>
      <c r="K95" s="42"/>
      <c r="L95" s="42"/>
      <c r="M95" s="42"/>
    </row>
    <row r="96">
      <c r="A96" s="44">
        <v>45567.0</v>
      </c>
      <c r="B96" s="105" t="s">
        <v>14</v>
      </c>
      <c r="C96" s="93">
        <f>IFERROR(__xludf.DUMMYFUNCTION("E96*-1"),81.2)</f>
        <v>81.2</v>
      </c>
      <c r="D96" s="41" t="s">
        <v>838</v>
      </c>
      <c r="E96" s="107">
        <v>-81.2</v>
      </c>
      <c r="G96" s="42"/>
      <c r="H96" s="42"/>
      <c r="I96" s="42"/>
      <c r="J96" s="42"/>
      <c r="K96" s="42"/>
      <c r="L96" s="42"/>
      <c r="M96" s="42"/>
    </row>
    <row r="97">
      <c r="A97" s="44">
        <v>45589.0</v>
      </c>
      <c r="B97" s="105" t="s">
        <v>19</v>
      </c>
      <c r="C97" s="93">
        <v>26.47</v>
      </c>
      <c r="D97" s="108" t="s">
        <v>839</v>
      </c>
      <c r="E97" s="107"/>
      <c r="G97" s="42"/>
      <c r="H97" s="42"/>
      <c r="I97" s="42"/>
      <c r="J97" s="42"/>
      <c r="K97" s="42"/>
      <c r="L97" s="42"/>
      <c r="M97" s="42"/>
    </row>
    <row r="98">
      <c r="A98" s="44">
        <v>45588.0</v>
      </c>
      <c r="B98" s="105" t="s">
        <v>19</v>
      </c>
      <c r="C98" s="93">
        <v>78.87</v>
      </c>
      <c r="D98" s="108" t="s">
        <v>840</v>
      </c>
      <c r="E98" s="107"/>
      <c r="G98" s="42"/>
      <c r="H98" s="42"/>
      <c r="I98" s="42"/>
      <c r="J98" s="42"/>
      <c r="K98" s="42"/>
      <c r="L98" s="42"/>
      <c r="M98" s="42"/>
    </row>
    <row r="99">
      <c r="A99" s="44">
        <v>45587.0</v>
      </c>
      <c r="B99" s="105" t="s">
        <v>571</v>
      </c>
      <c r="C99" s="93">
        <v>25.82</v>
      </c>
      <c r="D99" s="108" t="s">
        <v>841</v>
      </c>
      <c r="E99" s="107"/>
      <c r="G99" s="42"/>
      <c r="H99" s="42"/>
      <c r="I99" s="42"/>
      <c r="J99" s="42"/>
      <c r="K99" s="42"/>
      <c r="L99" s="42"/>
      <c r="M99" s="42"/>
    </row>
    <row r="100">
      <c r="A100" s="44">
        <v>45585.0</v>
      </c>
      <c r="B100" s="105" t="s">
        <v>25</v>
      </c>
      <c r="C100" s="93">
        <v>5.2</v>
      </c>
      <c r="D100" s="108" t="s">
        <v>842</v>
      </c>
      <c r="E100" s="107"/>
      <c r="G100" s="42"/>
      <c r="H100" s="42"/>
      <c r="I100" s="42"/>
      <c r="J100" s="42"/>
      <c r="K100" s="42"/>
      <c r="L100" s="42"/>
      <c r="M100" s="42"/>
    </row>
    <row r="101">
      <c r="A101" s="44">
        <v>45585.0</v>
      </c>
      <c r="B101" s="105" t="s">
        <v>24</v>
      </c>
      <c r="C101" s="93">
        <v>4.65</v>
      </c>
      <c r="D101" s="108" t="s">
        <v>843</v>
      </c>
      <c r="E101" s="107"/>
      <c r="G101" s="42"/>
      <c r="H101" s="42"/>
      <c r="I101" s="42"/>
      <c r="J101" s="42"/>
      <c r="K101" s="42"/>
      <c r="L101" s="42"/>
      <c r="M101" s="42"/>
    </row>
    <row r="102">
      <c r="A102" s="44">
        <v>45583.0</v>
      </c>
      <c r="B102" s="105" t="s">
        <v>25</v>
      </c>
      <c r="C102" s="93">
        <v>41.4</v>
      </c>
      <c r="D102" s="108" t="s">
        <v>844</v>
      </c>
      <c r="E102" s="107"/>
      <c r="G102" s="42"/>
      <c r="H102" s="42"/>
      <c r="I102" s="42"/>
      <c r="J102" s="42"/>
      <c r="K102" s="42"/>
      <c r="L102" s="42"/>
      <c r="M102" s="42"/>
    </row>
    <row r="103">
      <c r="A103" s="44">
        <v>45582.0</v>
      </c>
      <c r="B103" s="105" t="s">
        <v>79</v>
      </c>
      <c r="C103" s="93">
        <v>54.28</v>
      </c>
      <c r="D103" s="108" t="s">
        <v>845</v>
      </c>
      <c r="E103" s="107"/>
      <c r="G103" s="42"/>
      <c r="H103" s="42"/>
      <c r="I103" s="42"/>
      <c r="J103" s="42"/>
      <c r="K103" s="42"/>
      <c r="L103" s="42"/>
      <c r="M103" s="42"/>
    </row>
    <row r="104">
      <c r="A104" s="44">
        <v>45582.0</v>
      </c>
      <c r="B104" s="105" t="s">
        <v>25</v>
      </c>
      <c r="C104" s="93">
        <v>55.68</v>
      </c>
      <c r="D104" s="108" t="s">
        <v>846</v>
      </c>
      <c r="E104" s="107"/>
      <c r="G104" s="42"/>
      <c r="H104" s="42"/>
      <c r="I104" s="42"/>
      <c r="J104" s="42"/>
      <c r="K104" s="42"/>
      <c r="L104" s="42"/>
      <c r="M104" s="42"/>
    </row>
    <row r="105">
      <c r="A105" s="44">
        <v>45581.0</v>
      </c>
      <c r="B105" s="105" t="s">
        <v>79</v>
      </c>
      <c r="C105" s="93">
        <v>39.66</v>
      </c>
      <c r="D105" s="108" t="s">
        <v>847</v>
      </c>
      <c r="E105" s="107"/>
      <c r="G105" s="42"/>
      <c r="H105" s="42"/>
      <c r="I105" s="42"/>
      <c r="J105" s="42"/>
      <c r="K105" s="42"/>
      <c r="L105" s="42"/>
      <c r="M105" s="42"/>
    </row>
    <row r="106">
      <c r="A106" s="44">
        <v>45578.0</v>
      </c>
      <c r="B106" s="106" t="s">
        <v>15</v>
      </c>
      <c r="C106" s="93">
        <v>44.44</v>
      </c>
      <c r="D106" s="108" t="s">
        <v>848</v>
      </c>
      <c r="E106" s="107"/>
      <c r="G106" s="42"/>
      <c r="H106" s="42"/>
      <c r="I106" s="42"/>
      <c r="J106" s="42"/>
      <c r="K106" s="42"/>
      <c r="L106" s="42"/>
      <c r="M106" s="42"/>
    </row>
    <row r="107">
      <c r="A107" s="44">
        <v>45578.0</v>
      </c>
      <c r="B107" s="105" t="s">
        <v>19</v>
      </c>
      <c r="C107" s="93">
        <v>375.88</v>
      </c>
      <c r="D107" s="108" t="s">
        <v>849</v>
      </c>
      <c r="E107" s="107"/>
      <c r="G107" s="42"/>
      <c r="H107" s="42"/>
      <c r="I107" s="42"/>
      <c r="J107" s="42"/>
      <c r="K107" s="42"/>
      <c r="L107" s="42"/>
      <c r="M107" s="42"/>
    </row>
    <row r="108">
      <c r="A108" s="44">
        <v>45572.0</v>
      </c>
      <c r="B108" s="106" t="s">
        <v>15</v>
      </c>
      <c r="C108" s="93">
        <v>22.0</v>
      </c>
      <c r="D108" s="108" t="s">
        <v>850</v>
      </c>
      <c r="E108" s="107"/>
      <c r="G108" s="42"/>
      <c r="H108" s="42"/>
      <c r="I108" s="42"/>
      <c r="J108" s="42"/>
      <c r="K108" s="42"/>
      <c r="L108" s="42"/>
      <c r="M108" s="42"/>
    </row>
    <row r="109">
      <c r="A109" s="44">
        <v>45571.0</v>
      </c>
      <c r="B109" s="106" t="s">
        <v>15</v>
      </c>
      <c r="C109" s="93">
        <v>41.96</v>
      </c>
      <c r="D109" s="108" t="s">
        <v>851</v>
      </c>
      <c r="E109" s="107"/>
      <c r="G109" s="42"/>
      <c r="H109" s="42"/>
      <c r="I109" s="42"/>
      <c r="J109" s="42"/>
      <c r="K109" s="42"/>
      <c r="L109" s="42"/>
      <c r="M109" s="42"/>
    </row>
    <row r="110">
      <c r="A110" s="44">
        <v>45571.0</v>
      </c>
      <c r="B110" s="105" t="s">
        <v>19</v>
      </c>
      <c r="C110" s="93">
        <v>7.42</v>
      </c>
      <c r="D110" s="108" t="s">
        <v>852</v>
      </c>
      <c r="E110" s="107"/>
      <c r="G110" s="42"/>
      <c r="H110" s="42"/>
      <c r="I110" s="42"/>
      <c r="J110" s="42"/>
      <c r="K110" s="42"/>
      <c r="L110" s="42"/>
      <c r="M110" s="42"/>
    </row>
    <row r="111">
      <c r="A111" s="44">
        <v>45577.0</v>
      </c>
      <c r="B111" s="40" t="s">
        <v>571</v>
      </c>
      <c r="C111" s="41">
        <v>165.0</v>
      </c>
      <c r="D111" s="41" t="s">
        <v>853</v>
      </c>
      <c r="E111" s="107"/>
      <c r="G111" s="42"/>
      <c r="H111" s="42"/>
      <c r="I111" s="42"/>
      <c r="J111" s="42"/>
      <c r="K111" s="42"/>
      <c r="L111" s="42"/>
      <c r="M111" s="42"/>
    </row>
    <row r="112">
      <c r="A112" s="44">
        <v>45579.0</v>
      </c>
      <c r="B112" s="40" t="s">
        <v>19</v>
      </c>
      <c r="C112" s="41">
        <v>23.0</v>
      </c>
      <c r="D112" s="41" t="s">
        <v>854</v>
      </c>
      <c r="E112" s="107"/>
      <c r="G112" s="42"/>
      <c r="H112" s="42"/>
      <c r="I112" s="42"/>
      <c r="J112" s="42"/>
      <c r="K112" s="42"/>
      <c r="L112" s="42"/>
      <c r="M112" s="42"/>
    </row>
    <row r="113">
      <c r="A113" s="44">
        <v>45577.0</v>
      </c>
      <c r="B113" s="40" t="s">
        <v>14</v>
      </c>
      <c r="C113" s="41">
        <v>135.0</v>
      </c>
      <c r="D113" s="41" t="s">
        <v>855</v>
      </c>
      <c r="E113" s="107"/>
      <c r="G113" s="42"/>
      <c r="H113" s="42"/>
      <c r="I113" s="42"/>
      <c r="J113" s="42"/>
      <c r="K113" s="42"/>
      <c r="L113" s="42"/>
      <c r="M113" s="42"/>
    </row>
    <row r="114">
      <c r="A114" s="44">
        <v>45588.0</v>
      </c>
      <c r="B114" s="40" t="s">
        <v>25</v>
      </c>
      <c r="C114" s="41">
        <v>60.0</v>
      </c>
      <c r="D114" s="41" t="s">
        <v>856</v>
      </c>
      <c r="E114" s="107"/>
      <c r="G114" s="42"/>
      <c r="H114" s="42"/>
      <c r="I114" s="42"/>
      <c r="J114" s="42"/>
      <c r="K114" s="42"/>
      <c r="L114" s="42"/>
      <c r="M114" s="42"/>
    </row>
    <row r="115">
      <c r="A115" s="44">
        <v>45588.0</v>
      </c>
      <c r="B115" s="40" t="s">
        <v>17</v>
      </c>
      <c r="C115" s="41">
        <v>16.0</v>
      </c>
      <c r="D115" s="41" t="s">
        <v>857</v>
      </c>
      <c r="E115" s="107"/>
      <c r="G115" s="42"/>
      <c r="H115" s="42"/>
      <c r="I115" s="42"/>
      <c r="J115" s="42"/>
      <c r="K115" s="42"/>
      <c r="L115" s="42"/>
      <c r="M115" s="42"/>
    </row>
    <row r="116">
      <c r="A116" s="44">
        <v>45583.0</v>
      </c>
      <c r="B116" s="40" t="s">
        <v>17</v>
      </c>
      <c r="C116" s="41">
        <v>4.0</v>
      </c>
      <c r="D116" s="41" t="s">
        <v>674</v>
      </c>
      <c r="E116" s="107"/>
      <c r="G116" s="42"/>
      <c r="H116" s="42"/>
      <c r="I116" s="42"/>
      <c r="J116" s="42"/>
      <c r="K116" s="42"/>
      <c r="L116" s="42"/>
      <c r="M116" s="42"/>
    </row>
    <row r="117">
      <c r="A117" s="44">
        <v>45581.0</v>
      </c>
      <c r="B117" s="40" t="s">
        <v>17</v>
      </c>
      <c r="C117" s="41">
        <v>23.73</v>
      </c>
      <c r="D117" s="41" t="s">
        <v>858</v>
      </c>
      <c r="E117" s="107"/>
      <c r="G117" s="42"/>
      <c r="H117" s="42"/>
      <c r="I117" s="42"/>
      <c r="J117" s="42"/>
      <c r="K117" s="42"/>
      <c r="L117" s="42"/>
      <c r="M117" s="42"/>
    </row>
    <row r="118">
      <c r="A118" s="44">
        <v>45578.0</v>
      </c>
      <c r="B118" s="40" t="s">
        <v>25</v>
      </c>
      <c r="C118" s="41">
        <v>5.0</v>
      </c>
      <c r="D118" s="41" t="s">
        <v>859</v>
      </c>
      <c r="E118" s="107"/>
      <c r="G118" s="42"/>
      <c r="H118" s="42"/>
      <c r="I118" s="42"/>
      <c r="J118" s="42"/>
      <c r="K118" s="42"/>
      <c r="L118" s="42"/>
      <c r="M118" s="42"/>
    </row>
    <row r="119">
      <c r="A119" s="44">
        <v>45574.0</v>
      </c>
      <c r="B119" s="40" t="s">
        <v>17</v>
      </c>
      <c r="C119" s="41">
        <v>24.0</v>
      </c>
      <c r="D119" s="41" t="s">
        <v>674</v>
      </c>
      <c r="E119" s="107"/>
      <c r="G119" s="42"/>
      <c r="H119" s="42"/>
      <c r="I119" s="42"/>
      <c r="J119" s="42"/>
      <c r="K119" s="42"/>
      <c r="L119" s="42"/>
      <c r="M119" s="42"/>
    </row>
    <row r="120">
      <c r="A120" s="44">
        <v>45574.0</v>
      </c>
      <c r="B120" s="40" t="s">
        <v>17</v>
      </c>
      <c r="C120" s="41">
        <v>27.8</v>
      </c>
      <c r="D120" s="41" t="s">
        <v>860</v>
      </c>
      <c r="E120" s="107"/>
      <c r="G120" s="42"/>
      <c r="H120" s="42"/>
      <c r="I120" s="42"/>
      <c r="J120" s="42"/>
      <c r="K120" s="42"/>
      <c r="L120" s="42"/>
      <c r="M120" s="42"/>
    </row>
    <row r="121">
      <c r="A121" s="44">
        <v>45569.0</v>
      </c>
      <c r="B121" s="109" t="s">
        <v>19</v>
      </c>
      <c r="C121" s="41">
        <v>150.0</v>
      </c>
      <c r="D121" s="41" t="s">
        <v>861</v>
      </c>
      <c r="E121" s="107"/>
      <c r="G121" s="42"/>
      <c r="H121" s="42"/>
      <c r="I121" s="42"/>
      <c r="J121" s="42"/>
      <c r="K121" s="42"/>
      <c r="L121" s="42"/>
      <c r="M121" s="42"/>
    </row>
    <row r="122">
      <c r="A122" s="44">
        <v>45588.0</v>
      </c>
      <c r="B122" s="105" t="s">
        <v>25</v>
      </c>
      <c r="C122" s="93">
        <v>168.0</v>
      </c>
      <c r="D122" s="41" t="s">
        <v>862</v>
      </c>
      <c r="E122" s="107"/>
      <c r="G122" s="42"/>
      <c r="H122" s="42"/>
      <c r="I122" s="42"/>
      <c r="J122" s="42"/>
      <c r="K122" s="42"/>
      <c r="L122" s="42"/>
      <c r="M122" s="42"/>
    </row>
    <row r="123">
      <c r="A123" s="44">
        <v>45586.0</v>
      </c>
      <c r="B123" s="106" t="s">
        <v>17</v>
      </c>
      <c r="C123" s="93">
        <v>14.71</v>
      </c>
      <c r="D123" s="41" t="s">
        <v>863</v>
      </c>
      <c r="E123" s="107"/>
      <c r="G123" s="42"/>
      <c r="H123" s="42"/>
      <c r="I123" s="42"/>
      <c r="J123" s="42"/>
      <c r="K123" s="42"/>
      <c r="L123" s="42"/>
      <c r="M123" s="42"/>
    </row>
    <row r="124">
      <c r="A124" s="44">
        <v>45586.0</v>
      </c>
      <c r="B124" s="106" t="s">
        <v>17</v>
      </c>
      <c r="C124" s="93">
        <v>63.0</v>
      </c>
      <c r="D124" s="41" t="s">
        <v>864</v>
      </c>
      <c r="E124" s="107"/>
      <c r="G124" s="42"/>
      <c r="H124" s="42"/>
      <c r="I124" s="42"/>
      <c r="J124" s="42"/>
      <c r="K124" s="42"/>
      <c r="L124" s="42"/>
      <c r="M124" s="42"/>
    </row>
    <row r="125">
      <c r="A125" s="44">
        <v>45584.0</v>
      </c>
      <c r="B125" s="106" t="s">
        <v>17</v>
      </c>
      <c r="C125" s="93">
        <v>45.67</v>
      </c>
      <c r="D125" s="41" t="s">
        <v>718</v>
      </c>
      <c r="E125" s="107"/>
      <c r="G125" s="42"/>
      <c r="H125" s="42"/>
      <c r="I125" s="42"/>
      <c r="J125" s="42"/>
      <c r="K125" s="42"/>
      <c r="L125" s="42"/>
      <c r="M125" s="42"/>
    </row>
    <row r="126">
      <c r="A126" s="44">
        <v>45584.0</v>
      </c>
      <c r="B126" s="106" t="s">
        <v>15</v>
      </c>
      <c r="C126" s="93">
        <v>160.0</v>
      </c>
      <c r="D126" s="41" t="s">
        <v>865</v>
      </c>
      <c r="E126" s="107"/>
      <c r="G126" s="42"/>
      <c r="H126" s="42"/>
      <c r="I126" s="42"/>
      <c r="J126" s="42"/>
      <c r="K126" s="42"/>
      <c r="L126" s="42"/>
      <c r="M126" s="42"/>
    </row>
    <row r="127">
      <c r="A127" s="110">
        <v>45592.0</v>
      </c>
      <c r="B127" s="111" t="s">
        <v>79</v>
      </c>
      <c r="C127" s="112">
        <v>63.19</v>
      </c>
      <c r="D127" s="111" t="s">
        <v>866</v>
      </c>
      <c r="E127" s="107"/>
      <c r="G127" s="42"/>
      <c r="H127" s="42"/>
      <c r="I127" s="42"/>
      <c r="J127" s="42"/>
      <c r="K127" s="42"/>
      <c r="L127" s="42"/>
      <c r="M127" s="42"/>
    </row>
    <row r="128">
      <c r="A128" s="44">
        <v>45594.0</v>
      </c>
      <c r="B128" s="113" t="s">
        <v>15</v>
      </c>
      <c r="C128" s="93">
        <v>9.99</v>
      </c>
      <c r="D128" s="41" t="s">
        <v>867</v>
      </c>
      <c r="E128" s="107"/>
      <c r="G128" s="42"/>
      <c r="H128" s="42"/>
      <c r="I128" s="42"/>
      <c r="J128" s="42"/>
      <c r="K128" s="42"/>
      <c r="L128" s="42"/>
      <c r="M128" s="42"/>
    </row>
    <row r="129">
      <c r="A129" s="114">
        <v>45586.0</v>
      </c>
      <c r="B129" s="115" t="s">
        <v>17</v>
      </c>
      <c r="C129" s="116">
        <v>14.71</v>
      </c>
      <c r="D129" s="117" t="s">
        <v>868</v>
      </c>
      <c r="E129" s="107"/>
      <c r="G129" s="42"/>
      <c r="H129" s="42"/>
      <c r="I129" s="42"/>
      <c r="J129" s="42"/>
      <c r="K129" s="42"/>
      <c r="L129" s="42"/>
      <c r="M129" s="42"/>
    </row>
    <row r="130">
      <c r="A130" s="114">
        <v>45591.0</v>
      </c>
      <c r="B130" s="115" t="s">
        <v>17</v>
      </c>
      <c r="C130" s="116">
        <v>8.99</v>
      </c>
      <c r="D130" s="117" t="s">
        <v>869</v>
      </c>
      <c r="E130" s="107"/>
      <c r="G130" s="42"/>
      <c r="H130" s="42"/>
      <c r="I130" s="42"/>
      <c r="J130" s="42"/>
      <c r="K130" s="42"/>
      <c r="L130" s="42"/>
      <c r="M130" s="42"/>
    </row>
    <row r="131">
      <c r="A131" s="114">
        <v>45592.0</v>
      </c>
      <c r="B131" s="115" t="s">
        <v>19</v>
      </c>
      <c r="C131" s="116">
        <v>11.54</v>
      </c>
      <c r="D131" s="117" t="s">
        <v>870</v>
      </c>
      <c r="E131" s="107"/>
      <c r="G131" s="42"/>
      <c r="H131" s="42"/>
      <c r="I131" s="42"/>
      <c r="J131" s="42"/>
      <c r="K131" s="42"/>
      <c r="L131" s="42"/>
      <c r="M131" s="42"/>
    </row>
    <row r="132">
      <c r="A132" s="114">
        <v>45593.0</v>
      </c>
      <c r="B132" s="115" t="s">
        <v>19</v>
      </c>
      <c r="C132" s="116">
        <v>96.75</v>
      </c>
      <c r="D132" s="117" t="s">
        <v>871</v>
      </c>
      <c r="E132" s="107"/>
      <c r="G132" s="42"/>
      <c r="H132" s="42"/>
      <c r="I132" s="42"/>
      <c r="J132" s="42"/>
      <c r="K132" s="42"/>
      <c r="L132" s="42"/>
      <c r="M132" s="42"/>
    </row>
    <row r="133">
      <c r="A133" s="44"/>
      <c r="B133" s="113"/>
      <c r="C133" s="93"/>
      <c r="D133" s="41"/>
      <c r="E133" s="107"/>
      <c r="G133" s="42"/>
      <c r="H133" s="42"/>
      <c r="I133" s="42"/>
      <c r="J133" s="42"/>
      <c r="K133" s="42"/>
      <c r="L133" s="42"/>
      <c r="M133" s="42"/>
    </row>
    <row r="134">
      <c r="A134" s="44"/>
      <c r="B134" s="113"/>
      <c r="C134" s="93"/>
      <c r="D134" s="41"/>
      <c r="E134" s="107"/>
      <c r="G134" s="42"/>
      <c r="H134" s="42"/>
      <c r="I134" s="42"/>
      <c r="J134" s="42"/>
      <c r="K134" s="42"/>
      <c r="L134" s="42"/>
      <c r="M134" s="42"/>
    </row>
    <row r="135">
      <c r="A135" s="44"/>
      <c r="B135" s="113"/>
      <c r="C135" s="93"/>
      <c r="D135" s="41"/>
      <c r="E135" s="107"/>
      <c r="G135" s="42"/>
      <c r="H135" s="42"/>
      <c r="I135" s="42"/>
      <c r="J135" s="42"/>
      <c r="K135" s="42"/>
      <c r="L135" s="42"/>
      <c r="M135" s="42"/>
    </row>
    <row r="136">
      <c r="A136" s="44"/>
      <c r="B136" s="113"/>
      <c r="C136" s="93"/>
      <c r="D136" s="41"/>
      <c r="E136" s="107"/>
      <c r="G136" s="42"/>
      <c r="H136" s="42"/>
      <c r="I136" s="42"/>
      <c r="J136" s="42"/>
      <c r="K136" s="42"/>
      <c r="L136" s="42"/>
      <c r="M136" s="42"/>
    </row>
    <row r="137">
      <c r="A137" s="44"/>
      <c r="B137" s="113"/>
      <c r="C137" s="93"/>
      <c r="D137" s="41"/>
      <c r="E137" s="107"/>
      <c r="G137" s="42"/>
      <c r="H137" s="42"/>
      <c r="I137" s="42"/>
      <c r="J137" s="42"/>
      <c r="K137" s="42"/>
      <c r="L137" s="42"/>
      <c r="M137" s="42"/>
    </row>
    <row r="138">
      <c r="A138" s="44"/>
      <c r="B138" s="113"/>
      <c r="C138" s="93"/>
      <c r="D138" s="41"/>
      <c r="E138" s="107"/>
      <c r="G138" s="42"/>
      <c r="H138" s="42"/>
      <c r="I138" s="42"/>
      <c r="J138" s="42"/>
      <c r="K138" s="42"/>
      <c r="L138" s="42"/>
      <c r="M138" s="42"/>
    </row>
    <row r="139">
      <c r="A139" s="44"/>
      <c r="B139" s="113"/>
      <c r="C139" s="93"/>
      <c r="D139" s="41"/>
      <c r="E139" s="107"/>
      <c r="G139" s="42"/>
      <c r="H139" s="42"/>
      <c r="I139" s="42"/>
      <c r="J139" s="42"/>
      <c r="K139" s="42"/>
      <c r="L139" s="42"/>
      <c r="M139" s="42"/>
    </row>
    <row r="140">
      <c r="A140" s="44"/>
      <c r="B140" s="113"/>
      <c r="C140" s="93"/>
      <c r="D140" s="41"/>
      <c r="E140" s="107"/>
      <c r="G140" s="42"/>
      <c r="H140" s="42"/>
      <c r="I140" s="42"/>
      <c r="J140" s="42"/>
      <c r="K140" s="42"/>
      <c r="L140" s="42"/>
      <c r="M140" s="42"/>
    </row>
    <row r="141">
      <c r="A141" s="44"/>
      <c r="B141" s="113"/>
      <c r="C141" s="93"/>
      <c r="D141" s="41"/>
      <c r="E141" s="107"/>
      <c r="G141" s="42"/>
      <c r="H141" s="42"/>
      <c r="I141" s="42"/>
      <c r="J141" s="42"/>
      <c r="K141" s="42"/>
      <c r="L141" s="42"/>
      <c r="M141" s="42"/>
    </row>
    <row r="142">
      <c r="A142" s="44"/>
      <c r="B142" s="113"/>
      <c r="C142" s="93"/>
      <c r="D142" s="41"/>
      <c r="E142" s="107"/>
      <c r="G142" s="42"/>
      <c r="H142" s="42"/>
      <c r="I142" s="42"/>
      <c r="J142" s="42"/>
      <c r="K142" s="42"/>
      <c r="L142" s="42"/>
      <c r="M142" s="42"/>
    </row>
    <row r="143">
      <c r="A143" s="44"/>
      <c r="B143" s="113"/>
      <c r="C143" s="93"/>
      <c r="D143" s="41"/>
      <c r="E143" s="107"/>
      <c r="G143" s="42"/>
      <c r="H143" s="42"/>
      <c r="I143" s="42"/>
      <c r="J143" s="42"/>
      <c r="K143" s="42"/>
      <c r="L143" s="42"/>
      <c r="M143" s="42"/>
    </row>
    <row r="144">
      <c r="A144" s="44"/>
      <c r="B144" s="113"/>
      <c r="C144" s="93"/>
      <c r="D144" s="41"/>
      <c r="E144" s="107"/>
      <c r="G144" s="42"/>
      <c r="H144" s="42"/>
      <c r="I144" s="42"/>
      <c r="J144" s="42"/>
      <c r="K144" s="42"/>
      <c r="L144" s="42"/>
      <c r="M144" s="42"/>
    </row>
    <row r="145">
      <c r="A145" s="44"/>
      <c r="B145" s="113"/>
      <c r="C145" s="93"/>
      <c r="D145" s="41"/>
      <c r="E145" s="107"/>
      <c r="G145" s="42"/>
      <c r="H145" s="42"/>
      <c r="I145" s="42"/>
      <c r="J145" s="42"/>
      <c r="K145" s="42"/>
      <c r="L145" s="42"/>
      <c r="M145" s="42"/>
    </row>
    <row r="146">
      <c r="A146" s="44"/>
      <c r="B146" s="113"/>
      <c r="C146" s="93"/>
      <c r="D146" s="41"/>
      <c r="E146" s="107"/>
      <c r="G146" s="42"/>
      <c r="H146" s="42"/>
      <c r="I146" s="42"/>
      <c r="J146" s="42"/>
      <c r="K146" s="42"/>
      <c r="L146" s="42"/>
      <c r="M146" s="42"/>
    </row>
    <row r="147">
      <c r="A147" s="44"/>
      <c r="B147" s="113"/>
      <c r="C147" s="93"/>
      <c r="D147" s="41"/>
      <c r="E147" s="107"/>
      <c r="G147" s="42"/>
      <c r="H147" s="42"/>
      <c r="I147" s="42"/>
      <c r="J147" s="42"/>
      <c r="K147" s="42"/>
      <c r="L147" s="42"/>
      <c r="M147" s="42"/>
    </row>
    <row r="148">
      <c r="A148" s="44"/>
      <c r="B148" s="113"/>
      <c r="C148" s="93"/>
      <c r="D148" s="41"/>
      <c r="E148" s="107"/>
      <c r="G148" s="42"/>
      <c r="H148" s="42"/>
      <c r="I148" s="42"/>
      <c r="J148" s="42"/>
      <c r="K148" s="42"/>
      <c r="L148" s="42"/>
      <c r="M148" s="42"/>
    </row>
    <row r="149">
      <c r="A149" s="44"/>
      <c r="B149" s="113"/>
      <c r="C149" s="93"/>
      <c r="D149" s="41"/>
      <c r="E149" s="107"/>
      <c r="G149" s="42"/>
      <c r="H149" s="42"/>
      <c r="I149" s="42"/>
      <c r="J149" s="42"/>
      <c r="K149" s="42"/>
      <c r="L149" s="42"/>
      <c r="M149" s="42"/>
    </row>
    <row r="150">
      <c r="A150" s="44"/>
      <c r="B150" s="113"/>
      <c r="C150" s="93"/>
      <c r="D150" s="41"/>
      <c r="E150" s="107"/>
      <c r="G150" s="42"/>
      <c r="H150" s="42"/>
      <c r="I150" s="42"/>
      <c r="J150" s="42"/>
      <c r="K150" s="42"/>
      <c r="L150" s="42"/>
      <c r="M150" s="42"/>
    </row>
    <row r="151">
      <c r="A151" s="44"/>
      <c r="B151" s="113"/>
      <c r="C151" s="93"/>
      <c r="D151" s="41"/>
      <c r="E151" s="107"/>
      <c r="G151" s="42"/>
      <c r="H151" s="42"/>
      <c r="I151" s="42"/>
      <c r="J151" s="42"/>
      <c r="K151" s="42"/>
      <c r="L151" s="42"/>
      <c r="M151" s="42"/>
    </row>
    <row r="152">
      <c r="A152" s="44"/>
      <c r="B152" s="113"/>
      <c r="C152" s="93"/>
      <c r="D152" s="41"/>
      <c r="E152" s="107"/>
      <c r="G152" s="42"/>
      <c r="H152" s="42"/>
      <c r="I152" s="42"/>
      <c r="J152" s="42"/>
      <c r="K152" s="42"/>
      <c r="L152" s="42"/>
      <c r="M152" s="42"/>
    </row>
    <row r="153">
      <c r="A153" s="44"/>
      <c r="B153" s="113"/>
      <c r="C153" s="93"/>
      <c r="D153" s="41"/>
      <c r="E153" s="107"/>
      <c r="G153" s="42"/>
      <c r="H153" s="42"/>
      <c r="I153" s="42"/>
      <c r="J153" s="42"/>
      <c r="K153" s="42"/>
      <c r="L153" s="42"/>
      <c r="M153" s="42"/>
    </row>
    <row r="154">
      <c r="A154" s="44"/>
      <c r="B154" s="113"/>
      <c r="C154" s="93"/>
      <c r="D154" s="41"/>
      <c r="E154" s="107"/>
      <c r="G154" s="42"/>
      <c r="H154" s="42"/>
      <c r="I154" s="42"/>
      <c r="J154" s="42"/>
      <c r="K154" s="42"/>
      <c r="L154" s="42"/>
      <c r="M154" s="42"/>
    </row>
    <row r="155">
      <c r="A155" s="44"/>
      <c r="B155" s="113"/>
      <c r="C155" s="93"/>
      <c r="D155" s="41"/>
      <c r="E155" s="107"/>
      <c r="G155" s="42"/>
      <c r="H155" s="42"/>
      <c r="I155" s="42"/>
      <c r="J155" s="42"/>
      <c r="K155" s="42"/>
      <c r="L155" s="42"/>
      <c r="M155" s="42"/>
    </row>
    <row r="156">
      <c r="A156" s="44"/>
      <c r="B156" s="113"/>
      <c r="C156" s="93"/>
      <c r="D156" s="41"/>
      <c r="E156" s="107"/>
      <c r="G156" s="42"/>
      <c r="H156" s="42"/>
      <c r="I156" s="42"/>
      <c r="J156" s="42"/>
      <c r="K156" s="42"/>
      <c r="L156" s="42"/>
      <c r="M156" s="42"/>
    </row>
    <row r="157">
      <c r="A157" s="44"/>
      <c r="B157" s="113"/>
      <c r="C157" s="93"/>
      <c r="D157" s="41"/>
      <c r="E157" s="107"/>
      <c r="G157" s="42"/>
      <c r="H157" s="42"/>
      <c r="I157" s="42"/>
      <c r="J157" s="42"/>
      <c r="K157" s="42"/>
      <c r="L157" s="42"/>
      <c r="M157" s="42"/>
    </row>
    <row r="158">
      <c r="A158" s="44"/>
      <c r="B158" s="113"/>
      <c r="C158" s="93"/>
      <c r="D158" s="41"/>
      <c r="E158" s="107"/>
      <c r="G158" s="42"/>
      <c r="H158" s="42"/>
      <c r="I158" s="42"/>
      <c r="J158" s="42"/>
      <c r="K158" s="42"/>
      <c r="L158" s="42"/>
      <c r="M158" s="42"/>
    </row>
    <row r="159">
      <c r="A159" s="44"/>
      <c r="B159" s="113"/>
      <c r="C159" s="93"/>
      <c r="D159" s="41"/>
      <c r="E159" s="107"/>
      <c r="G159" s="42"/>
      <c r="H159" s="42"/>
      <c r="I159" s="42"/>
      <c r="J159" s="42"/>
      <c r="K159" s="42"/>
      <c r="L159" s="42"/>
      <c r="M159" s="42"/>
    </row>
    <row r="160">
      <c r="A160" s="44"/>
      <c r="B160" s="113"/>
      <c r="C160" s="93"/>
      <c r="D160" s="41"/>
      <c r="E160" s="107"/>
      <c r="G160" s="42"/>
      <c r="H160" s="42"/>
      <c r="I160" s="42"/>
      <c r="J160" s="42"/>
      <c r="K160" s="42"/>
      <c r="L160" s="42"/>
      <c r="M160" s="42"/>
    </row>
    <row r="161">
      <c r="A161" s="44"/>
      <c r="B161" s="113"/>
      <c r="C161" s="93"/>
      <c r="D161" s="41"/>
      <c r="E161" s="107"/>
      <c r="G161" s="42"/>
      <c r="H161" s="42"/>
      <c r="I161" s="42"/>
      <c r="J161" s="42"/>
      <c r="K161" s="42"/>
      <c r="L161" s="42"/>
      <c r="M161" s="42"/>
    </row>
    <row r="162">
      <c r="A162" s="44"/>
      <c r="B162" s="113"/>
      <c r="C162" s="93"/>
      <c r="D162" s="41"/>
      <c r="E162" s="107"/>
      <c r="G162" s="42"/>
      <c r="H162" s="42"/>
      <c r="I162" s="42"/>
      <c r="J162" s="42"/>
      <c r="K162" s="42"/>
      <c r="L162" s="42"/>
      <c r="M162" s="42"/>
    </row>
    <row r="163">
      <c r="A163" s="44"/>
      <c r="B163" s="113"/>
      <c r="C163" s="93"/>
      <c r="D163" s="41"/>
      <c r="E163" s="107"/>
      <c r="G163" s="42"/>
      <c r="H163" s="42"/>
      <c r="I163" s="42"/>
      <c r="J163" s="42"/>
      <c r="K163" s="42"/>
      <c r="L163" s="42"/>
      <c r="M163" s="42"/>
    </row>
    <row r="164">
      <c r="A164" s="44"/>
      <c r="B164" s="113"/>
      <c r="C164" s="93"/>
      <c r="D164" s="41"/>
      <c r="E164" s="107"/>
      <c r="G164" s="42"/>
      <c r="H164" s="42"/>
      <c r="I164" s="42"/>
      <c r="J164" s="42"/>
      <c r="K164" s="42"/>
      <c r="L164" s="42"/>
      <c r="M164" s="42"/>
    </row>
    <row r="165">
      <c r="A165" s="44"/>
      <c r="B165" s="113"/>
      <c r="C165" s="93"/>
      <c r="D165" s="41"/>
      <c r="E165" s="107"/>
      <c r="G165" s="42"/>
      <c r="H165" s="42"/>
      <c r="I165" s="42"/>
      <c r="J165" s="42"/>
      <c r="K165" s="42"/>
      <c r="L165" s="42"/>
      <c r="M165" s="42"/>
    </row>
    <row r="166">
      <c r="A166" s="44"/>
      <c r="B166" s="113"/>
      <c r="C166" s="93"/>
      <c r="D166" s="41"/>
      <c r="E166" s="107"/>
      <c r="G166" s="42"/>
      <c r="H166" s="42"/>
      <c r="I166" s="42"/>
      <c r="J166" s="42"/>
      <c r="K166" s="42"/>
      <c r="L166" s="42"/>
      <c r="M166" s="42"/>
    </row>
    <row r="167">
      <c r="A167" s="44"/>
      <c r="B167" s="113"/>
      <c r="C167" s="93"/>
      <c r="D167" s="41"/>
      <c r="E167" s="107"/>
      <c r="G167" s="42"/>
      <c r="H167" s="42"/>
      <c r="I167" s="42"/>
      <c r="J167" s="42"/>
      <c r="K167" s="42"/>
      <c r="L167" s="42"/>
      <c r="M167" s="42"/>
    </row>
    <row r="168">
      <c r="A168" s="44"/>
      <c r="B168" s="113"/>
      <c r="C168" s="93"/>
      <c r="D168" s="41"/>
      <c r="E168" s="107"/>
      <c r="G168" s="42"/>
      <c r="H168" s="42"/>
      <c r="I168" s="42"/>
      <c r="J168" s="42"/>
      <c r="K168" s="42"/>
      <c r="L168" s="42"/>
      <c r="M168" s="42"/>
    </row>
    <row r="169">
      <c r="A169" s="44"/>
      <c r="B169" s="113"/>
      <c r="C169" s="93"/>
      <c r="D169" s="41"/>
      <c r="E169" s="107"/>
      <c r="G169" s="42"/>
      <c r="H169" s="42"/>
      <c r="I169" s="42"/>
      <c r="J169" s="42"/>
      <c r="K169" s="42"/>
      <c r="L169" s="42"/>
      <c r="M169" s="42"/>
    </row>
    <row r="170">
      <c r="A170" s="44"/>
      <c r="B170" s="113"/>
      <c r="C170" s="93"/>
      <c r="D170" s="41"/>
      <c r="E170" s="107"/>
      <c r="G170" s="42"/>
      <c r="H170" s="42"/>
      <c r="I170" s="42"/>
      <c r="J170" s="42"/>
      <c r="K170" s="42"/>
      <c r="L170" s="42"/>
      <c r="M170" s="42"/>
    </row>
    <row r="171">
      <c r="A171" s="44"/>
      <c r="B171" s="113"/>
      <c r="C171" s="93"/>
      <c r="D171" s="41"/>
      <c r="E171" s="107"/>
      <c r="G171" s="42"/>
      <c r="H171" s="42"/>
      <c r="I171" s="42"/>
      <c r="J171" s="42"/>
      <c r="K171" s="42"/>
      <c r="L171" s="42"/>
      <c r="M171" s="42"/>
    </row>
    <row r="172">
      <c r="A172" s="44"/>
      <c r="B172" s="113"/>
      <c r="C172" s="93"/>
      <c r="D172" s="41"/>
      <c r="E172" s="107"/>
      <c r="G172" s="42"/>
      <c r="H172" s="42"/>
      <c r="I172" s="42"/>
      <c r="J172" s="42"/>
      <c r="K172" s="42"/>
      <c r="L172" s="42"/>
      <c r="M172" s="42"/>
    </row>
    <row r="173">
      <c r="A173" s="44"/>
      <c r="B173" s="113"/>
      <c r="C173" s="93"/>
      <c r="D173" s="41"/>
      <c r="E173" s="107"/>
      <c r="G173" s="42"/>
      <c r="H173" s="42"/>
      <c r="I173" s="42"/>
      <c r="J173" s="42"/>
      <c r="K173" s="42"/>
      <c r="L173" s="42"/>
      <c r="M173" s="42"/>
    </row>
    <row r="174">
      <c r="A174" s="44"/>
      <c r="B174" s="113"/>
      <c r="C174" s="93"/>
      <c r="D174" s="41"/>
      <c r="E174" s="107"/>
      <c r="G174" s="42"/>
      <c r="H174" s="42"/>
      <c r="I174" s="42"/>
      <c r="J174" s="42"/>
      <c r="K174" s="42"/>
      <c r="L174" s="42"/>
      <c r="M174" s="42"/>
    </row>
    <row r="175">
      <c r="A175" s="44"/>
      <c r="B175" s="113"/>
      <c r="C175" s="93"/>
      <c r="D175" s="41"/>
      <c r="E175" s="107"/>
      <c r="G175" s="42"/>
      <c r="H175" s="42"/>
      <c r="I175" s="42"/>
      <c r="J175" s="42"/>
      <c r="K175" s="42"/>
      <c r="L175" s="42"/>
      <c r="M175" s="42"/>
    </row>
    <row r="176">
      <c r="A176" s="44"/>
      <c r="B176" s="113"/>
      <c r="C176" s="93"/>
      <c r="D176" s="41"/>
      <c r="E176" s="107"/>
      <c r="G176" s="42"/>
      <c r="H176" s="42"/>
      <c r="I176" s="42"/>
      <c r="J176" s="42"/>
      <c r="K176" s="42"/>
      <c r="L176" s="42"/>
      <c r="M176" s="42"/>
    </row>
    <row r="177">
      <c r="A177" s="44"/>
      <c r="B177" s="113"/>
      <c r="C177" s="93"/>
      <c r="D177" s="41"/>
      <c r="E177" s="107"/>
      <c r="G177" s="42"/>
      <c r="H177" s="42"/>
      <c r="I177" s="42"/>
      <c r="J177" s="42"/>
      <c r="K177" s="42"/>
      <c r="L177" s="42"/>
      <c r="M177" s="42"/>
    </row>
    <row r="178">
      <c r="A178" s="44"/>
      <c r="B178" s="113"/>
      <c r="C178" s="93"/>
      <c r="D178" s="41"/>
      <c r="E178" s="107"/>
      <c r="G178" s="42"/>
      <c r="H178" s="42"/>
      <c r="I178" s="42"/>
      <c r="J178" s="42"/>
      <c r="K178" s="42"/>
      <c r="L178" s="42"/>
      <c r="M178" s="42"/>
    </row>
    <row r="179">
      <c r="A179" s="44"/>
      <c r="B179" s="113"/>
      <c r="C179" s="93"/>
      <c r="D179" s="41"/>
      <c r="E179" s="107"/>
      <c r="G179" s="42"/>
      <c r="H179" s="42"/>
      <c r="I179" s="42"/>
      <c r="J179" s="42"/>
      <c r="K179" s="42"/>
      <c r="L179" s="42"/>
      <c r="M179" s="42"/>
    </row>
    <row r="180">
      <c r="A180" s="44"/>
      <c r="B180" s="113"/>
      <c r="C180" s="93"/>
      <c r="D180" s="41"/>
      <c r="E180" s="107"/>
      <c r="G180" s="42"/>
      <c r="H180" s="42"/>
      <c r="I180" s="42"/>
      <c r="J180" s="42"/>
      <c r="K180" s="42"/>
      <c r="L180" s="42"/>
      <c r="M180" s="42"/>
    </row>
    <row r="181">
      <c r="A181" s="44"/>
      <c r="B181" s="113"/>
      <c r="C181" s="93"/>
      <c r="D181" s="41"/>
      <c r="E181" s="107"/>
      <c r="G181" s="42"/>
      <c r="H181" s="42"/>
      <c r="I181" s="42"/>
      <c r="J181" s="42"/>
      <c r="K181" s="42"/>
      <c r="L181" s="42"/>
      <c r="M181" s="42"/>
    </row>
    <row r="182">
      <c r="A182" s="44"/>
      <c r="B182" s="113"/>
      <c r="C182" s="93"/>
      <c r="D182" s="41"/>
      <c r="E182" s="107"/>
      <c r="G182" s="42"/>
      <c r="H182" s="42"/>
      <c r="I182" s="42"/>
      <c r="J182" s="42"/>
      <c r="K182" s="42"/>
      <c r="L182" s="42"/>
      <c r="M182" s="42"/>
    </row>
    <row r="183">
      <c r="A183" s="44"/>
      <c r="B183" s="113"/>
      <c r="C183" s="93"/>
      <c r="D183" s="41"/>
      <c r="E183" s="107"/>
      <c r="G183" s="42"/>
      <c r="H183" s="42"/>
      <c r="I183" s="42"/>
      <c r="J183" s="42"/>
      <c r="K183" s="42"/>
      <c r="L183" s="42"/>
      <c r="M183" s="42"/>
    </row>
    <row r="184">
      <c r="A184" s="44"/>
      <c r="B184" s="113"/>
      <c r="C184" s="93"/>
      <c r="D184" s="41"/>
      <c r="E184" s="107"/>
      <c r="G184" s="42"/>
      <c r="H184" s="42"/>
      <c r="I184" s="42"/>
      <c r="J184" s="42"/>
      <c r="K184" s="42"/>
      <c r="L184" s="42"/>
      <c r="M184" s="42"/>
    </row>
    <row r="185">
      <c r="A185" s="44"/>
      <c r="B185" s="113"/>
      <c r="C185" s="93"/>
      <c r="D185" s="41"/>
      <c r="E185" s="107"/>
      <c r="G185" s="42"/>
      <c r="H185" s="42"/>
      <c r="I185" s="42"/>
      <c r="J185" s="42"/>
      <c r="K185" s="42"/>
      <c r="L185" s="42"/>
      <c r="M185" s="42"/>
    </row>
    <row r="186">
      <c r="A186" s="44"/>
      <c r="B186" s="113"/>
      <c r="C186" s="93"/>
      <c r="D186" s="41"/>
      <c r="E186" s="107"/>
      <c r="G186" s="42"/>
      <c r="H186" s="42"/>
      <c r="I186" s="42"/>
      <c r="J186" s="42"/>
      <c r="K186" s="42"/>
      <c r="L186" s="42"/>
      <c r="M186" s="42"/>
    </row>
    <row r="187">
      <c r="A187" s="44"/>
      <c r="B187" s="113"/>
      <c r="C187" s="93"/>
      <c r="D187" s="41"/>
      <c r="E187" s="107"/>
      <c r="G187" s="42"/>
      <c r="H187" s="42"/>
      <c r="I187" s="42"/>
      <c r="J187" s="42"/>
      <c r="K187" s="42"/>
      <c r="L187" s="42"/>
      <c r="M187" s="42"/>
    </row>
    <row r="188">
      <c r="A188" s="44"/>
      <c r="B188" s="113"/>
      <c r="C188" s="93"/>
      <c r="D188" s="41"/>
      <c r="E188" s="107"/>
      <c r="G188" s="42"/>
      <c r="H188" s="42"/>
      <c r="I188" s="42"/>
      <c r="J188" s="42"/>
      <c r="K188" s="42"/>
      <c r="L188" s="42"/>
      <c r="M188" s="42"/>
    </row>
    <row r="189">
      <c r="A189" s="44"/>
      <c r="B189" s="113"/>
      <c r="C189" s="93"/>
      <c r="D189" s="41"/>
      <c r="E189" s="107"/>
      <c r="G189" s="42"/>
      <c r="H189" s="42"/>
      <c r="I189" s="42"/>
      <c r="J189" s="42"/>
      <c r="K189" s="42"/>
      <c r="L189" s="42"/>
      <c r="M189" s="42"/>
    </row>
    <row r="190">
      <c r="A190" s="44"/>
      <c r="B190" s="113"/>
      <c r="C190" s="93"/>
      <c r="D190" s="41"/>
      <c r="E190" s="107"/>
      <c r="G190" s="42"/>
      <c r="H190" s="42"/>
      <c r="I190" s="42"/>
      <c r="J190" s="42"/>
      <c r="K190" s="42"/>
      <c r="L190" s="42"/>
      <c r="M190" s="42"/>
    </row>
    <row r="191">
      <c r="A191" s="44"/>
      <c r="B191" s="113"/>
      <c r="C191" s="93"/>
      <c r="D191" s="41"/>
      <c r="E191" s="107"/>
      <c r="G191" s="42"/>
      <c r="H191" s="42"/>
      <c r="I191" s="42"/>
      <c r="J191" s="42"/>
      <c r="K191" s="42"/>
      <c r="L191" s="42"/>
      <c r="M191" s="42"/>
    </row>
    <row r="192">
      <c r="A192" s="44"/>
      <c r="B192" s="113"/>
      <c r="C192" s="93"/>
      <c r="D192" s="41"/>
      <c r="E192" s="107"/>
      <c r="G192" s="42"/>
      <c r="H192" s="42"/>
      <c r="I192" s="42"/>
      <c r="J192" s="42"/>
      <c r="K192" s="42"/>
      <c r="L192" s="42"/>
      <c r="M192" s="42"/>
    </row>
    <row r="193">
      <c r="A193" s="44"/>
      <c r="B193" s="113"/>
      <c r="C193" s="93"/>
      <c r="D193" s="41"/>
      <c r="E193" s="107"/>
      <c r="G193" s="42"/>
      <c r="H193" s="42"/>
      <c r="I193" s="42"/>
      <c r="J193" s="42"/>
      <c r="K193" s="42"/>
      <c r="L193" s="42"/>
      <c r="M193" s="42"/>
    </row>
  </sheetData>
  <autoFilter ref="$A$33:$D$132"/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D127 D129:D132 B20:B193">
      <formula1>'Hidden list and Figures'!$A$3:$A$15</formula1>
    </dataValidation>
    <dataValidation type="custom" allowBlank="1" showDropDown="1" showInputMessage="1" prompt="Select a date" sqref="A34:A193">
      <formula1>OR(NOT(ISERROR(DATEVALUE(A34))), AND(ISNUMBER(A34), LEFT(CELL("format", A34))="D"))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sumif($B$20:$C$461,A6,$C$20:$C$461)</f>
        <v>1666.94</v>
      </c>
      <c r="D6" s="17">
        <f t="shared" ref="D6:D16" si="2">B6-C6</f>
        <v>996.74</v>
      </c>
      <c r="E6" s="18">
        <f t="shared" ref="E6:E17" si="3">D6/B6</f>
        <v>0.3741966002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4200.0</v>
      </c>
    </row>
    <row r="8">
      <c r="A8" s="21" t="s">
        <v>14</v>
      </c>
      <c r="B8" s="22">
        <v>250.0</v>
      </c>
      <c r="C8" s="16">
        <f t="shared" si="1"/>
        <v>130</v>
      </c>
      <c r="D8" s="23">
        <f t="shared" si="2"/>
        <v>120</v>
      </c>
      <c r="E8" s="18">
        <f t="shared" si="3"/>
        <v>0.48</v>
      </c>
      <c r="G8" s="64" t="s">
        <v>27</v>
      </c>
      <c r="H8" s="92">
        <f>SUM(H6:H7)</f>
        <v>4200</v>
      </c>
    </row>
    <row r="9">
      <c r="A9" s="24" t="s">
        <v>15</v>
      </c>
      <c r="B9" s="22">
        <v>400.0</v>
      </c>
      <c r="C9" s="16">
        <f t="shared" si="1"/>
        <v>925.26</v>
      </c>
      <c r="D9" s="23">
        <f t="shared" si="2"/>
        <v>-525.26</v>
      </c>
      <c r="E9" s="18">
        <f t="shared" si="3"/>
        <v>-1.31315</v>
      </c>
    </row>
    <row r="10">
      <c r="A10" s="24" t="s">
        <v>17</v>
      </c>
      <c r="B10" s="22">
        <v>400.0</v>
      </c>
      <c r="C10" s="16">
        <f t="shared" si="1"/>
        <v>716.97</v>
      </c>
      <c r="D10" s="23">
        <f t="shared" si="2"/>
        <v>-316.97</v>
      </c>
      <c r="E10" s="18">
        <f t="shared" si="3"/>
        <v>-0.792425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872.2</v>
      </c>
      <c r="D11" s="23">
        <f t="shared" si="2"/>
        <v>-672.2</v>
      </c>
      <c r="E11" s="18">
        <f t="shared" si="3"/>
        <v>-3.361</v>
      </c>
      <c r="G11" s="19" t="s">
        <v>18</v>
      </c>
      <c r="H11" s="14">
        <f>sum(C17)</f>
        <v>10759.47</v>
      </c>
    </row>
    <row r="12">
      <c r="A12" s="24" t="s">
        <v>79</v>
      </c>
      <c r="B12" s="22">
        <v>500.0</v>
      </c>
      <c r="C12" s="16">
        <f t="shared" si="1"/>
        <v>5242</v>
      </c>
      <c r="D12" s="23">
        <f t="shared" si="2"/>
        <v>-4742</v>
      </c>
      <c r="E12" s="18">
        <f t="shared" si="3"/>
        <v>-9.484</v>
      </c>
      <c r="H12" s="14"/>
    </row>
    <row r="13">
      <c r="A13" s="25" t="s">
        <v>22</v>
      </c>
      <c r="B13" s="22">
        <v>200.0</v>
      </c>
      <c r="C13" s="16">
        <f t="shared" si="1"/>
        <v>59.04</v>
      </c>
      <c r="D13" s="23">
        <f t="shared" si="2"/>
        <v>140.96</v>
      </c>
      <c r="E13" s="18">
        <f t="shared" si="3"/>
        <v>0.7048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123</v>
      </c>
      <c r="D14" s="23">
        <f t="shared" si="2"/>
        <v>-123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1024.06</v>
      </c>
      <c r="D15" s="28">
        <f t="shared" si="2"/>
        <v>-724.06</v>
      </c>
      <c r="E15" s="18">
        <f t="shared" si="3"/>
        <v>-2.413533333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SUMIF($B$20:$C$175,"Travel",$C$20:$C$175)</f>
        <v>5242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10759.47</v>
      </c>
      <c r="D17" s="31">
        <f>SUM(D6:D15)</f>
        <v>-5845.79</v>
      </c>
      <c r="E17" s="18">
        <f t="shared" si="3"/>
        <v>-1.189696928</v>
      </c>
      <c r="F17" s="36"/>
      <c r="G17" s="13" t="s">
        <v>28</v>
      </c>
      <c r="H17" s="33">
        <f>500-SUMIF($B$20:$C$175,"Travel",$C$20:$C$175)+'April 2024'!H17</f>
        <v>-4238.76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/>
      <c r="B21" s="40"/>
      <c r="C21" s="41"/>
      <c r="D21" s="95"/>
      <c r="E21" s="41"/>
      <c r="G21" s="42"/>
      <c r="H21" s="42"/>
      <c r="I21" s="42"/>
      <c r="J21" s="42"/>
      <c r="K21" s="42"/>
      <c r="L21" s="42"/>
      <c r="M21" s="42"/>
    </row>
    <row r="22">
      <c r="A22" s="40"/>
      <c r="B22" s="40"/>
      <c r="C22" s="41"/>
      <c r="D22" s="95"/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21.0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102">
        <v>40.0</v>
      </c>
      <c r="D24" s="41" t="s">
        <v>23</v>
      </c>
      <c r="E24" s="41"/>
      <c r="G24" s="19" t="s">
        <v>750</v>
      </c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2.87</v>
      </c>
      <c r="D25" s="41" t="s">
        <v>39</v>
      </c>
      <c r="E25" s="41"/>
      <c r="F25" s="19" t="s">
        <v>751</v>
      </c>
      <c r="G25" s="42">
        <f>8.62+3758.03</f>
        <v>3766.65</v>
      </c>
      <c r="H25" s="40" t="s">
        <v>752</v>
      </c>
      <c r="I25" s="42"/>
      <c r="J25" s="40"/>
      <c r="K25" s="42"/>
      <c r="L25" s="42"/>
      <c r="M25" s="42"/>
    </row>
    <row r="26">
      <c r="A26" s="40" t="s">
        <v>32</v>
      </c>
      <c r="B26" s="40" t="s">
        <v>10</v>
      </c>
      <c r="C26" s="41">
        <v>2.99</v>
      </c>
      <c r="D26" s="41" t="s">
        <v>40</v>
      </c>
      <c r="E26" s="41"/>
      <c r="F26" s="19" t="s">
        <v>753</v>
      </c>
      <c r="G26" s="40">
        <v>0.0</v>
      </c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5.83</v>
      </c>
      <c r="D27" s="41" t="s">
        <v>41</v>
      </c>
      <c r="E27" s="41"/>
      <c r="F27" s="19" t="s">
        <v>754</v>
      </c>
      <c r="G27" s="40">
        <v>965.33</v>
      </c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6.25</v>
      </c>
      <c r="D28" s="41" t="s">
        <v>488</v>
      </c>
      <c r="E28" s="41"/>
      <c r="F28" s="19" t="s">
        <v>755</v>
      </c>
      <c r="G28" s="42">
        <f>274.97+19.17+184.41+1077.59+1829.28</f>
        <v>3385.42</v>
      </c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112.0</v>
      </c>
      <c r="D29" s="41" t="s">
        <v>42</v>
      </c>
      <c r="E29" s="41"/>
      <c r="F29" s="19" t="s">
        <v>756</v>
      </c>
      <c r="G29" s="42">
        <f>27.87</f>
        <v>27.87</v>
      </c>
      <c r="H29" s="40" t="s">
        <v>757</v>
      </c>
      <c r="I29" s="42"/>
      <c r="J29" s="42"/>
      <c r="K29" s="42"/>
      <c r="L29" s="42"/>
      <c r="M29" s="42"/>
    </row>
    <row r="30">
      <c r="E30" s="41"/>
      <c r="F30" s="19" t="s">
        <v>758</v>
      </c>
      <c r="G30" s="40">
        <v>1388.4</v>
      </c>
      <c r="H30" s="42"/>
      <c r="I30" s="42"/>
      <c r="J30" s="42"/>
      <c r="K30" s="42"/>
      <c r="L30" s="42"/>
      <c r="M30" s="42"/>
    </row>
    <row r="31">
      <c r="E31" s="41"/>
      <c r="F31" s="19" t="s">
        <v>759</v>
      </c>
      <c r="G31" s="42">
        <f>SUM(G25:G30)</f>
        <v>9533.67</v>
      </c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F32" s="19" t="s">
        <v>33</v>
      </c>
      <c r="G32" s="40">
        <v>2900.0</v>
      </c>
      <c r="H32" s="42"/>
      <c r="I32" s="42"/>
      <c r="J32" s="42"/>
      <c r="K32" s="42"/>
      <c r="L32" s="42"/>
      <c r="M32" s="42"/>
    </row>
    <row r="33">
      <c r="A33" s="44"/>
      <c r="B33" s="40"/>
      <c r="C33" s="41"/>
      <c r="D33" s="41"/>
      <c r="E33" s="41"/>
      <c r="G33" s="40">
        <v>8000.0</v>
      </c>
      <c r="H33" s="42"/>
      <c r="I33" s="42"/>
      <c r="J33" s="42"/>
      <c r="K33" s="42"/>
      <c r="L33" s="42"/>
      <c r="M33" s="42"/>
    </row>
    <row r="34">
      <c r="A34" s="44">
        <v>45597.0</v>
      </c>
      <c r="B34" s="106" t="s">
        <v>25</v>
      </c>
      <c r="C34" s="93">
        <v>29.0</v>
      </c>
      <c r="D34" s="41" t="s">
        <v>872</v>
      </c>
      <c r="E34" s="107">
        <v>-3.95</v>
      </c>
      <c r="G34" s="42"/>
      <c r="H34" s="42"/>
      <c r="I34" s="42"/>
      <c r="J34" s="42"/>
      <c r="K34" s="42"/>
      <c r="L34" s="42"/>
      <c r="M34" s="42"/>
    </row>
    <row r="35">
      <c r="A35" s="118">
        <v>45597.0</v>
      </c>
      <c r="B35" s="119" t="s">
        <v>17</v>
      </c>
      <c r="C35" s="120">
        <v>19.45</v>
      </c>
      <c r="D35" s="121" t="s">
        <v>873</v>
      </c>
      <c r="E35" s="107">
        <v>-1.25</v>
      </c>
      <c r="G35" s="42"/>
      <c r="H35" s="42"/>
      <c r="I35" s="42"/>
      <c r="J35" s="42"/>
      <c r="K35" s="42"/>
      <c r="L35" s="42"/>
      <c r="M35" s="42"/>
    </row>
    <row r="36">
      <c r="A36" s="44">
        <v>45597.0</v>
      </c>
      <c r="B36" s="106" t="s">
        <v>22</v>
      </c>
      <c r="C36" s="93">
        <v>12.81</v>
      </c>
      <c r="D36" s="41" t="s">
        <v>551</v>
      </c>
      <c r="E36" s="107">
        <v>-55.88</v>
      </c>
      <c r="G36" s="42"/>
      <c r="H36" s="42"/>
      <c r="I36" s="42"/>
      <c r="J36" s="42"/>
      <c r="K36" s="42"/>
      <c r="L36" s="42"/>
      <c r="M36" s="42"/>
    </row>
    <row r="37">
      <c r="A37" s="44">
        <v>45597.0</v>
      </c>
      <c r="B37" s="106" t="s">
        <v>25</v>
      </c>
      <c r="C37" s="93">
        <v>300.0</v>
      </c>
      <c r="D37" s="41" t="s">
        <v>874</v>
      </c>
      <c r="E37" s="107">
        <v>-25.02</v>
      </c>
      <c r="G37" s="42"/>
      <c r="H37" s="42"/>
      <c r="I37" s="42"/>
      <c r="J37" s="42"/>
      <c r="K37" s="42"/>
      <c r="L37" s="42"/>
      <c r="M37" s="42"/>
    </row>
    <row r="38">
      <c r="A38" s="44">
        <v>45597.0</v>
      </c>
      <c r="B38" s="106" t="s">
        <v>79</v>
      </c>
      <c r="C38" s="93">
        <f>556*2</f>
        <v>1112</v>
      </c>
      <c r="D38" s="41" t="s">
        <v>875</v>
      </c>
      <c r="E38" s="107">
        <v>-81.2</v>
      </c>
      <c r="G38" s="42"/>
      <c r="H38" s="42"/>
      <c r="I38" s="42"/>
      <c r="J38" s="42"/>
      <c r="K38" s="42"/>
      <c r="L38" s="42"/>
      <c r="M38" s="42"/>
    </row>
    <row r="39">
      <c r="A39" s="118">
        <v>45597.0</v>
      </c>
      <c r="B39" s="119" t="s">
        <v>19</v>
      </c>
      <c r="C39" s="120">
        <v>7.5</v>
      </c>
      <c r="D39" s="121" t="s">
        <v>782</v>
      </c>
      <c r="E39" s="107"/>
      <c r="G39" s="42"/>
      <c r="H39" s="42"/>
      <c r="I39" s="42"/>
      <c r="J39" s="42"/>
      <c r="K39" s="42"/>
      <c r="L39" s="42"/>
      <c r="M39" s="42"/>
    </row>
    <row r="40">
      <c r="A40" s="118">
        <v>45597.0</v>
      </c>
      <c r="B40" s="119" t="s">
        <v>17</v>
      </c>
      <c r="C40" s="120">
        <v>40.0</v>
      </c>
      <c r="D40" s="121" t="s">
        <v>876</v>
      </c>
      <c r="E40" s="107"/>
      <c r="G40" s="42"/>
      <c r="H40" s="42"/>
      <c r="I40" s="42"/>
      <c r="J40" s="42"/>
      <c r="K40" s="42"/>
      <c r="L40" s="42"/>
      <c r="M40" s="42"/>
    </row>
    <row r="41">
      <c r="A41" s="44">
        <v>45597.0</v>
      </c>
      <c r="B41" s="106" t="s">
        <v>17</v>
      </c>
      <c r="C41" s="93">
        <v>42.84</v>
      </c>
      <c r="D41" s="41" t="s">
        <v>877</v>
      </c>
      <c r="E41" s="107"/>
      <c r="G41" s="42"/>
      <c r="H41" s="42"/>
      <c r="I41" s="42"/>
      <c r="J41" s="42"/>
      <c r="K41" s="42"/>
      <c r="L41" s="42"/>
      <c r="M41" s="42"/>
    </row>
    <row r="42">
      <c r="A42" s="118">
        <v>45597.0</v>
      </c>
      <c r="B42" s="119" t="s">
        <v>22</v>
      </c>
      <c r="C42" s="120">
        <v>44.3</v>
      </c>
      <c r="D42" s="121" t="s">
        <v>551</v>
      </c>
      <c r="E42" s="107"/>
      <c r="G42" s="42"/>
      <c r="H42" s="42"/>
      <c r="I42" s="42"/>
      <c r="J42" s="42"/>
      <c r="K42" s="42"/>
      <c r="L42" s="42"/>
      <c r="M42" s="42"/>
    </row>
    <row r="43">
      <c r="A43" s="44">
        <v>45597.0</v>
      </c>
      <c r="B43" s="106" t="s">
        <v>19</v>
      </c>
      <c r="C43" s="93">
        <v>35.0</v>
      </c>
      <c r="D43" s="41" t="s">
        <v>878</v>
      </c>
      <c r="E43" s="107"/>
      <c r="G43" s="42"/>
      <c r="H43" s="42"/>
      <c r="I43" s="42"/>
      <c r="J43" s="42"/>
      <c r="K43" s="42"/>
      <c r="L43" s="42"/>
      <c r="M43" s="42"/>
    </row>
    <row r="44">
      <c r="A44" s="118">
        <v>45597.0</v>
      </c>
      <c r="B44" s="119" t="s">
        <v>15</v>
      </c>
      <c r="C44" s="120">
        <v>10.0</v>
      </c>
      <c r="D44" s="121" t="s">
        <v>879</v>
      </c>
      <c r="E44" s="107"/>
      <c r="G44" s="42"/>
      <c r="H44" s="42"/>
      <c r="I44" s="42"/>
      <c r="J44" s="42"/>
      <c r="K44" s="42"/>
      <c r="L44" s="42"/>
      <c r="M44" s="42"/>
    </row>
    <row r="45">
      <c r="A45" s="44">
        <v>45597.0</v>
      </c>
      <c r="B45" s="106" t="s">
        <v>24</v>
      </c>
      <c r="C45" s="93">
        <v>123.0</v>
      </c>
      <c r="D45" s="41" t="s">
        <v>880</v>
      </c>
      <c r="E45" s="107"/>
      <c r="G45" s="42"/>
      <c r="H45" s="42"/>
      <c r="I45" s="42"/>
      <c r="J45" s="42"/>
      <c r="K45" s="42"/>
      <c r="L45" s="42"/>
      <c r="M45" s="42"/>
    </row>
    <row r="46">
      <c r="A46" s="118">
        <v>45597.0</v>
      </c>
      <c r="B46" s="119" t="s">
        <v>15</v>
      </c>
      <c r="C46" s="120">
        <v>202.0</v>
      </c>
      <c r="D46" s="121" t="s">
        <v>57</v>
      </c>
      <c r="E46" s="107"/>
      <c r="G46" s="42"/>
      <c r="H46" s="42"/>
      <c r="I46" s="42"/>
      <c r="J46" s="42"/>
      <c r="K46" s="42"/>
      <c r="L46" s="42"/>
      <c r="M46" s="42"/>
    </row>
    <row r="47">
      <c r="A47" s="44">
        <v>45597.0</v>
      </c>
      <c r="B47" s="106" t="s">
        <v>17</v>
      </c>
      <c r="C47" s="93">
        <v>5.36</v>
      </c>
      <c r="D47" s="41" t="s">
        <v>881</v>
      </c>
      <c r="E47" s="107"/>
      <c r="G47" s="42"/>
      <c r="H47" s="42"/>
      <c r="I47" s="42"/>
      <c r="J47" s="42"/>
      <c r="K47" s="42"/>
      <c r="L47" s="42"/>
      <c r="M47" s="42"/>
    </row>
    <row r="48">
      <c r="A48" s="44">
        <v>45597.0</v>
      </c>
      <c r="B48" s="106" t="s">
        <v>17</v>
      </c>
      <c r="C48" s="93">
        <v>5.0</v>
      </c>
      <c r="D48" s="41" t="s">
        <v>882</v>
      </c>
      <c r="E48" s="107"/>
      <c r="G48" s="42"/>
      <c r="H48" s="42"/>
      <c r="I48" s="42"/>
      <c r="J48" s="42"/>
      <c r="K48" s="42"/>
      <c r="L48" s="42"/>
      <c r="M48" s="42"/>
    </row>
    <row r="49">
      <c r="A49" s="118">
        <v>45597.0</v>
      </c>
      <c r="B49" s="119" t="s">
        <v>17</v>
      </c>
      <c r="C49" s="120">
        <v>7.18</v>
      </c>
      <c r="D49" s="121" t="s">
        <v>881</v>
      </c>
      <c r="E49" s="107"/>
      <c r="G49" s="42"/>
      <c r="H49" s="42"/>
      <c r="I49" s="42"/>
      <c r="J49" s="42"/>
      <c r="K49" s="42"/>
      <c r="L49" s="42"/>
      <c r="M49" s="42"/>
    </row>
    <row r="50">
      <c r="A50" s="44">
        <v>45597.0</v>
      </c>
      <c r="B50" s="106" t="s">
        <v>17</v>
      </c>
      <c r="C50" s="93">
        <v>35.0</v>
      </c>
      <c r="D50" s="41" t="s">
        <v>883</v>
      </c>
      <c r="E50" s="107"/>
      <c r="G50" s="42"/>
      <c r="H50" s="42"/>
      <c r="I50" s="42"/>
      <c r="J50" s="42"/>
      <c r="K50" s="42"/>
      <c r="L50" s="42"/>
      <c r="M50" s="42"/>
    </row>
    <row r="51">
      <c r="A51" s="44">
        <v>45597.0</v>
      </c>
      <c r="B51" s="106" t="s">
        <v>17</v>
      </c>
      <c r="C51" s="93">
        <v>10.0</v>
      </c>
      <c r="D51" s="41" t="s">
        <v>884</v>
      </c>
      <c r="E51" s="107"/>
      <c r="G51" s="42"/>
      <c r="H51" s="42"/>
      <c r="I51" s="42"/>
      <c r="J51" s="42"/>
      <c r="K51" s="42"/>
      <c r="L51" s="42"/>
      <c r="M51" s="42"/>
    </row>
    <row r="52">
      <c r="A52" s="118">
        <v>45597.0</v>
      </c>
      <c r="B52" s="119" t="s">
        <v>25</v>
      </c>
      <c r="C52" s="120">
        <v>125.0</v>
      </c>
      <c r="D52" s="121" t="s">
        <v>885</v>
      </c>
      <c r="E52" s="107"/>
      <c r="G52" s="42"/>
      <c r="H52" s="42"/>
      <c r="I52" s="42"/>
      <c r="J52" s="42"/>
      <c r="K52" s="42"/>
      <c r="L52" s="42"/>
      <c r="M52" s="42"/>
    </row>
    <row r="53">
      <c r="A53" s="122">
        <v>45598.0</v>
      </c>
      <c r="B53" s="123" t="s">
        <v>25</v>
      </c>
      <c r="C53" s="124">
        <v>153.36</v>
      </c>
      <c r="D53" s="123" t="s">
        <v>886</v>
      </c>
      <c r="E53" s="107"/>
      <c r="G53" s="42"/>
      <c r="H53" s="42"/>
      <c r="I53" s="42"/>
      <c r="J53" s="42"/>
      <c r="K53" s="42"/>
      <c r="L53" s="42"/>
      <c r="M53" s="42"/>
    </row>
    <row r="54">
      <c r="A54" s="125">
        <v>45599.0</v>
      </c>
      <c r="B54" s="119" t="s">
        <v>19</v>
      </c>
      <c r="C54" s="126">
        <v>-39.66</v>
      </c>
      <c r="D54" s="126" t="s">
        <v>887</v>
      </c>
      <c r="E54" s="107"/>
      <c r="G54" s="42"/>
      <c r="H54" s="42"/>
      <c r="I54" s="42"/>
      <c r="J54" s="42"/>
      <c r="K54" s="42"/>
      <c r="L54" s="42"/>
      <c r="M54" s="42"/>
    </row>
    <row r="55">
      <c r="A55" s="122">
        <v>45601.0</v>
      </c>
      <c r="B55" s="123" t="s">
        <v>25</v>
      </c>
      <c r="C55" s="124">
        <v>43.0</v>
      </c>
      <c r="D55" s="123" t="s">
        <v>888</v>
      </c>
      <c r="E55" s="107"/>
      <c r="G55" s="42"/>
      <c r="H55" s="42"/>
      <c r="I55" s="42"/>
      <c r="J55" s="42"/>
      <c r="K55" s="42"/>
      <c r="L55" s="42"/>
      <c r="M55" s="42"/>
    </row>
    <row r="56">
      <c r="A56" s="127">
        <v>45602.0</v>
      </c>
      <c r="B56" s="128" t="s">
        <v>15</v>
      </c>
      <c r="C56" s="129">
        <v>32.44</v>
      </c>
      <c r="D56" s="128" t="s">
        <v>889</v>
      </c>
      <c r="E56" s="107"/>
      <c r="G56" s="42"/>
      <c r="H56" s="42"/>
      <c r="I56" s="42"/>
      <c r="J56" s="42"/>
      <c r="K56" s="42"/>
      <c r="L56" s="42"/>
      <c r="M56" s="42"/>
    </row>
    <row r="57">
      <c r="A57" s="122">
        <v>45602.0</v>
      </c>
      <c r="B57" s="123" t="s">
        <v>17</v>
      </c>
      <c r="C57" s="124">
        <v>17.06</v>
      </c>
      <c r="D57" s="123" t="s">
        <v>890</v>
      </c>
      <c r="E57" s="107"/>
      <c r="G57" s="42"/>
      <c r="H57" s="42"/>
      <c r="I57" s="42"/>
      <c r="J57" s="42"/>
      <c r="K57" s="42"/>
      <c r="L57" s="42"/>
      <c r="M57" s="42"/>
    </row>
    <row r="58">
      <c r="A58" s="122">
        <v>45602.0</v>
      </c>
      <c r="B58" s="123" t="s">
        <v>17</v>
      </c>
      <c r="C58" s="124">
        <v>10.11</v>
      </c>
      <c r="D58" s="123" t="s">
        <v>891</v>
      </c>
      <c r="E58" s="107"/>
      <c r="G58" s="42"/>
      <c r="H58" s="42"/>
      <c r="I58" s="42"/>
      <c r="J58" s="42"/>
      <c r="K58" s="42"/>
      <c r="L58" s="42"/>
      <c r="M58" s="42"/>
    </row>
    <row r="59">
      <c r="A59" s="44">
        <v>45602.0</v>
      </c>
      <c r="B59" s="106" t="s">
        <v>79</v>
      </c>
      <c r="C59" s="93">
        <v>3879.0</v>
      </c>
      <c r="D59" s="41" t="s">
        <v>362</v>
      </c>
      <c r="E59" s="107"/>
      <c r="G59" s="42"/>
      <c r="H59" s="42"/>
      <c r="I59" s="42"/>
      <c r="J59" s="42"/>
      <c r="K59" s="42"/>
      <c r="L59" s="42"/>
      <c r="M59" s="42"/>
    </row>
    <row r="60">
      <c r="A60" s="127">
        <v>45603.0</v>
      </c>
      <c r="B60" s="128" t="s">
        <v>79</v>
      </c>
      <c r="C60" s="129">
        <v>216.0</v>
      </c>
      <c r="D60" s="128" t="s">
        <v>892</v>
      </c>
      <c r="E60" s="107"/>
      <c r="G60" s="42"/>
      <c r="H60" s="42"/>
      <c r="I60" s="42"/>
      <c r="J60" s="42"/>
      <c r="K60" s="42"/>
      <c r="L60" s="42"/>
      <c r="M60" s="42"/>
    </row>
    <row r="61">
      <c r="A61" s="122">
        <v>45603.0</v>
      </c>
      <c r="B61" s="123" t="s">
        <v>25</v>
      </c>
      <c r="C61" s="124">
        <v>120.0</v>
      </c>
      <c r="D61" s="123" t="s">
        <v>893</v>
      </c>
      <c r="E61" s="107"/>
      <c r="G61" s="42"/>
      <c r="H61" s="42"/>
      <c r="I61" s="42"/>
      <c r="J61" s="42"/>
      <c r="K61" s="42"/>
      <c r="L61" s="42"/>
      <c r="M61" s="42"/>
    </row>
    <row r="62">
      <c r="A62" s="122">
        <v>45603.0</v>
      </c>
      <c r="B62" s="123" t="s">
        <v>25</v>
      </c>
      <c r="C62" s="124">
        <v>100.0</v>
      </c>
      <c r="D62" s="123" t="s">
        <v>893</v>
      </c>
      <c r="E62" s="107"/>
      <c r="G62" s="42"/>
      <c r="H62" s="42"/>
      <c r="I62" s="42"/>
      <c r="J62" s="42"/>
      <c r="K62" s="42"/>
      <c r="L62" s="42"/>
      <c r="M62" s="42"/>
    </row>
    <row r="63">
      <c r="A63" s="127">
        <v>45603.0</v>
      </c>
      <c r="B63" s="128" t="s">
        <v>25</v>
      </c>
      <c r="C63" s="129">
        <v>15.0</v>
      </c>
      <c r="D63" s="128" t="s">
        <v>893</v>
      </c>
      <c r="E63" s="107"/>
      <c r="G63" s="42"/>
      <c r="H63" s="42"/>
      <c r="I63" s="42"/>
      <c r="J63" s="42"/>
      <c r="K63" s="42"/>
      <c r="L63" s="42"/>
      <c r="M63" s="42"/>
    </row>
    <row r="64">
      <c r="A64" s="127">
        <v>45604.0</v>
      </c>
      <c r="B64" s="128" t="s">
        <v>14</v>
      </c>
      <c r="C64" s="129">
        <v>130.0</v>
      </c>
      <c r="D64" s="128" t="s">
        <v>894</v>
      </c>
      <c r="E64" s="107"/>
      <c r="G64" s="42"/>
      <c r="H64" s="42"/>
      <c r="I64" s="42"/>
      <c r="J64" s="42"/>
      <c r="K64" s="42"/>
      <c r="L64" s="42"/>
      <c r="M64" s="42"/>
    </row>
    <row r="65">
      <c r="A65" s="122">
        <v>45604.0</v>
      </c>
      <c r="B65" s="123" t="s">
        <v>25</v>
      </c>
      <c r="C65" s="124">
        <v>3.24</v>
      </c>
      <c r="D65" s="123" t="s">
        <v>895</v>
      </c>
      <c r="E65" s="107"/>
      <c r="G65" s="42"/>
      <c r="H65" s="42"/>
      <c r="I65" s="42"/>
      <c r="J65" s="42"/>
      <c r="K65" s="42"/>
      <c r="L65" s="42"/>
      <c r="M65" s="42"/>
    </row>
    <row r="66">
      <c r="A66" s="122">
        <v>45605.0</v>
      </c>
      <c r="B66" s="123" t="s">
        <v>17</v>
      </c>
      <c r="C66" s="124">
        <v>98.0</v>
      </c>
      <c r="D66" s="123" t="s">
        <v>896</v>
      </c>
      <c r="E66" s="107"/>
      <c r="G66" s="42"/>
      <c r="H66" s="42"/>
      <c r="I66" s="42"/>
      <c r="J66" s="42"/>
      <c r="K66" s="42"/>
      <c r="L66" s="42"/>
      <c r="M66" s="42"/>
    </row>
    <row r="67">
      <c r="A67" s="122">
        <v>45606.0</v>
      </c>
      <c r="B67" s="123" t="s">
        <v>15</v>
      </c>
      <c r="C67" s="124">
        <v>84.63</v>
      </c>
      <c r="D67" s="123" t="s">
        <v>897</v>
      </c>
      <c r="E67" s="107"/>
      <c r="G67" s="42"/>
      <c r="H67" s="42"/>
      <c r="I67" s="42"/>
      <c r="J67" s="42"/>
      <c r="K67" s="42"/>
      <c r="L67" s="42"/>
      <c r="M67" s="42"/>
    </row>
    <row r="68">
      <c r="A68" s="130">
        <v>45606.0</v>
      </c>
      <c r="B68" s="106" t="s">
        <v>19</v>
      </c>
      <c r="C68" s="131">
        <v>-18.16</v>
      </c>
      <c r="D68" s="131" t="s">
        <v>887</v>
      </c>
      <c r="E68" s="107"/>
      <c r="G68" s="42"/>
      <c r="H68" s="42"/>
      <c r="I68" s="42"/>
      <c r="J68" s="42"/>
      <c r="K68" s="42"/>
      <c r="L68" s="42"/>
      <c r="M68" s="42"/>
    </row>
    <row r="69">
      <c r="A69" s="125">
        <v>45606.0</v>
      </c>
      <c r="B69" s="119" t="s">
        <v>19</v>
      </c>
      <c r="C69" s="126">
        <v>45.02</v>
      </c>
      <c r="D69" s="126" t="s">
        <v>898</v>
      </c>
      <c r="E69" s="107"/>
      <c r="G69" s="42"/>
      <c r="H69" s="42"/>
      <c r="I69" s="42"/>
      <c r="J69" s="42"/>
      <c r="K69" s="42"/>
      <c r="L69" s="42"/>
      <c r="M69" s="42"/>
    </row>
    <row r="70">
      <c r="A70" s="127">
        <v>45607.0</v>
      </c>
      <c r="B70" s="128" t="s">
        <v>17</v>
      </c>
      <c r="C70" s="129">
        <v>9.39</v>
      </c>
      <c r="D70" s="128" t="s">
        <v>899</v>
      </c>
      <c r="E70" s="107"/>
      <c r="G70" s="42"/>
      <c r="H70" s="42"/>
      <c r="I70" s="42"/>
      <c r="J70" s="42"/>
      <c r="K70" s="42"/>
      <c r="L70" s="42"/>
      <c r="M70" s="42"/>
    </row>
    <row r="71">
      <c r="A71" s="127">
        <v>45607.0</v>
      </c>
      <c r="B71" s="128" t="s">
        <v>17</v>
      </c>
      <c r="C71" s="129">
        <v>5.93</v>
      </c>
      <c r="D71" s="128" t="s">
        <v>899</v>
      </c>
      <c r="E71" s="107"/>
      <c r="G71" s="42"/>
      <c r="H71" s="42"/>
      <c r="I71" s="42"/>
      <c r="J71" s="42"/>
      <c r="K71" s="42"/>
      <c r="L71" s="42"/>
      <c r="M71" s="42"/>
    </row>
    <row r="72">
      <c r="A72" s="118">
        <v>45607.0</v>
      </c>
      <c r="B72" s="119" t="s">
        <v>17</v>
      </c>
      <c r="C72" s="120">
        <v>6.86</v>
      </c>
      <c r="D72" s="121" t="s">
        <v>546</v>
      </c>
      <c r="E72" s="107"/>
      <c r="G72" s="42"/>
      <c r="H72" s="42"/>
      <c r="I72" s="42"/>
      <c r="J72" s="42"/>
      <c r="K72" s="42"/>
      <c r="L72" s="42"/>
      <c r="M72" s="42"/>
    </row>
    <row r="73">
      <c r="A73" s="127">
        <v>45608.0</v>
      </c>
      <c r="B73" s="128" t="s">
        <v>25</v>
      </c>
      <c r="C73" s="129">
        <v>20.0</v>
      </c>
      <c r="D73" s="128" t="s">
        <v>893</v>
      </c>
      <c r="E73" s="107"/>
      <c r="G73" s="42"/>
      <c r="H73" s="42"/>
      <c r="I73" s="42"/>
      <c r="J73" s="42"/>
      <c r="K73" s="42"/>
      <c r="L73" s="42"/>
      <c r="M73" s="42"/>
    </row>
    <row r="74">
      <c r="A74" s="125">
        <v>45608.0</v>
      </c>
      <c r="B74" s="119" t="s">
        <v>15</v>
      </c>
      <c r="C74" s="126">
        <v>37.79</v>
      </c>
      <c r="D74" s="126" t="s">
        <v>900</v>
      </c>
      <c r="E74" s="107"/>
      <c r="G74" s="42"/>
      <c r="H74" s="42"/>
      <c r="I74" s="42"/>
      <c r="J74" s="42"/>
      <c r="K74" s="42"/>
      <c r="L74" s="42"/>
      <c r="M74" s="42"/>
    </row>
    <row r="75">
      <c r="A75" s="125">
        <v>45608.0</v>
      </c>
      <c r="B75" s="119" t="s">
        <v>15</v>
      </c>
      <c r="C75" s="126">
        <v>37.53</v>
      </c>
      <c r="D75" s="126" t="s">
        <v>901</v>
      </c>
      <c r="E75" s="107"/>
      <c r="G75" s="42"/>
      <c r="H75" s="42"/>
      <c r="I75" s="42"/>
      <c r="J75" s="42"/>
      <c r="K75" s="42"/>
      <c r="L75" s="42"/>
      <c r="M75" s="42"/>
    </row>
    <row r="76">
      <c r="A76" s="127">
        <v>45610.0</v>
      </c>
      <c r="B76" s="128" t="s">
        <v>25</v>
      </c>
      <c r="C76" s="129">
        <v>50.0</v>
      </c>
      <c r="D76" s="128" t="s">
        <v>893</v>
      </c>
      <c r="E76" s="107"/>
      <c r="G76" s="42"/>
      <c r="H76" s="42"/>
      <c r="I76" s="42"/>
      <c r="J76" s="42"/>
      <c r="K76" s="42"/>
      <c r="L76" s="42"/>
      <c r="M76" s="42"/>
    </row>
    <row r="77">
      <c r="A77" s="127">
        <v>45610.0</v>
      </c>
      <c r="B77" s="128" t="s">
        <v>25</v>
      </c>
      <c r="C77" s="129">
        <v>45.0</v>
      </c>
      <c r="D77" s="128" t="s">
        <v>893</v>
      </c>
      <c r="E77" s="107"/>
      <c r="G77" s="42"/>
      <c r="H77" s="42"/>
      <c r="I77" s="42"/>
      <c r="J77" s="42"/>
      <c r="K77" s="42"/>
      <c r="L77" s="42"/>
      <c r="M77" s="42"/>
    </row>
    <row r="78">
      <c r="A78" s="127">
        <v>45611.0</v>
      </c>
      <c r="B78" s="128"/>
      <c r="C78" s="129">
        <v>160.88</v>
      </c>
      <c r="D78" s="128" t="s">
        <v>902</v>
      </c>
      <c r="E78" s="107"/>
      <c r="G78" s="42"/>
      <c r="H78" s="42"/>
      <c r="I78" s="42"/>
      <c r="J78" s="42"/>
      <c r="K78" s="42"/>
      <c r="L78" s="42"/>
      <c r="M78" s="42"/>
    </row>
    <row r="79">
      <c r="A79" s="127">
        <v>45611.0</v>
      </c>
      <c r="B79" s="128" t="s">
        <v>17</v>
      </c>
      <c r="C79" s="129">
        <v>98.0</v>
      </c>
      <c r="D79" s="128" t="s">
        <v>896</v>
      </c>
      <c r="E79" s="107"/>
      <c r="G79" s="42"/>
      <c r="H79" s="42"/>
      <c r="I79" s="42"/>
      <c r="J79" s="42"/>
      <c r="K79" s="42"/>
      <c r="L79" s="42"/>
      <c r="M79" s="42"/>
    </row>
    <row r="80">
      <c r="A80" s="127">
        <v>45611.0</v>
      </c>
      <c r="B80" s="128" t="s">
        <v>17</v>
      </c>
      <c r="C80" s="129">
        <v>20.98</v>
      </c>
      <c r="D80" s="128" t="s">
        <v>903</v>
      </c>
      <c r="E80" s="107"/>
      <c r="G80" s="42"/>
      <c r="H80" s="42"/>
      <c r="I80" s="42"/>
      <c r="J80" s="42"/>
      <c r="K80" s="42"/>
      <c r="L80" s="42"/>
      <c r="M80" s="42"/>
    </row>
    <row r="81">
      <c r="A81" s="127">
        <v>45611.0</v>
      </c>
      <c r="B81" s="128" t="s">
        <v>25</v>
      </c>
      <c r="C81" s="129">
        <v>3.21</v>
      </c>
      <c r="D81" s="128" t="s">
        <v>904</v>
      </c>
      <c r="E81" s="107"/>
      <c r="G81" s="42"/>
      <c r="H81" s="42"/>
      <c r="I81" s="42"/>
      <c r="J81" s="42"/>
      <c r="K81" s="42"/>
      <c r="L81" s="42"/>
      <c r="M81" s="42"/>
    </row>
    <row r="82">
      <c r="A82" s="125">
        <v>45611.0</v>
      </c>
      <c r="B82" s="119" t="s">
        <v>19</v>
      </c>
      <c r="C82" s="126">
        <v>10.53</v>
      </c>
      <c r="D82" s="126" t="s">
        <v>905</v>
      </c>
      <c r="E82" s="132" t="s">
        <v>906</v>
      </c>
      <c r="G82" s="42"/>
      <c r="H82" s="42"/>
      <c r="I82" s="42"/>
      <c r="J82" s="42"/>
      <c r="K82" s="42"/>
      <c r="L82" s="42"/>
      <c r="M82" s="42"/>
    </row>
    <row r="83">
      <c r="A83" s="127">
        <v>45612.0</v>
      </c>
      <c r="B83" s="128" t="s">
        <v>19</v>
      </c>
      <c r="C83" s="129">
        <v>71.86</v>
      </c>
      <c r="D83" s="128" t="s">
        <v>907</v>
      </c>
      <c r="E83" s="107"/>
      <c r="G83" s="42"/>
      <c r="H83" s="42"/>
      <c r="I83" s="42"/>
      <c r="J83" s="42"/>
      <c r="K83" s="42"/>
      <c r="L83" s="42"/>
      <c r="M83" s="42"/>
    </row>
    <row r="84">
      <c r="A84" s="127">
        <v>45612.0</v>
      </c>
      <c r="B84" s="128" t="s">
        <v>17</v>
      </c>
      <c r="C84" s="129">
        <v>13.7</v>
      </c>
      <c r="D84" s="128" t="s">
        <v>908</v>
      </c>
      <c r="E84" s="107"/>
      <c r="G84" s="42"/>
      <c r="H84" s="42"/>
      <c r="I84" s="42"/>
      <c r="J84" s="42"/>
      <c r="K84" s="42"/>
      <c r="L84" s="42"/>
      <c r="M84" s="42"/>
    </row>
    <row r="85">
      <c r="A85" s="127">
        <v>45612.0</v>
      </c>
      <c r="B85" s="128" t="s">
        <v>22</v>
      </c>
      <c r="C85" s="129">
        <v>1.93</v>
      </c>
      <c r="D85" s="128" t="s">
        <v>909</v>
      </c>
      <c r="E85" s="107"/>
      <c r="G85" s="42"/>
      <c r="H85" s="42"/>
      <c r="I85" s="42"/>
      <c r="J85" s="42"/>
      <c r="K85" s="42"/>
      <c r="L85" s="42"/>
      <c r="M85" s="42"/>
    </row>
    <row r="86">
      <c r="A86" s="127">
        <v>45613.0</v>
      </c>
      <c r="B86" s="128" t="s">
        <v>19</v>
      </c>
      <c r="C86" s="129">
        <v>1.25</v>
      </c>
      <c r="D86" s="128" t="s">
        <v>910</v>
      </c>
      <c r="E86" s="107"/>
      <c r="G86" s="42"/>
      <c r="H86" s="42"/>
      <c r="I86" s="42"/>
      <c r="J86" s="42"/>
      <c r="K86" s="42"/>
      <c r="L86" s="42"/>
      <c r="M86" s="42"/>
    </row>
    <row r="87">
      <c r="A87" s="125">
        <v>45614.0</v>
      </c>
      <c r="B87" s="119" t="s">
        <v>19</v>
      </c>
      <c r="C87" s="126">
        <v>32.16</v>
      </c>
      <c r="D87" s="126" t="s">
        <v>911</v>
      </c>
      <c r="E87" s="107"/>
      <c r="G87" s="42"/>
      <c r="H87" s="42"/>
      <c r="I87" s="42"/>
      <c r="J87" s="42"/>
      <c r="K87" s="42"/>
      <c r="L87" s="42"/>
      <c r="M87" s="42"/>
    </row>
    <row r="88">
      <c r="A88" s="127">
        <v>45615.0</v>
      </c>
      <c r="B88" s="128" t="s">
        <v>19</v>
      </c>
      <c r="C88" s="129">
        <v>10.71</v>
      </c>
      <c r="D88" s="128" t="s">
        <v>912</v>
      </c>
      <c r="E88" s="107"/>
      <c r="G88" s="42"/>
      <c r="H88" s="42"/>
      <c r="I88" s="42"/>
      <c r="J88" s="42"/>
      <c r="K88" s="42"/>
      <c r="L88" s="42"/>
      <c r="M88" s="42"/>
    </row>
    <row r="89">
      <c r="A89" s="125">
        <v>45615.0</v>
      </c>
      <c r="B89" s="119" t="s">
        <v>19</v>
      </c>
      <c r="C89" s="126">
        <v>6.38</v>
      </c>
      <c r="D89" s="126" t="s">
        <v>913</v>
      </c>
      <c r="E89" s="107"/>
      <c r="G89" s="42"/>
      <c r="H89" s="42"/>
      <c r="I89" s="42"/>
      <c r="J89" s="42"/>
      <c r="K89" s="42"/>
      <c r="L89" s="42"/>
      <c r="M89" s="42"/>
    </row>
    <row r="90">
      <c r="A90" s="127">
        <v>45617.0</v>
      </c>
      <c r="B90" s="128" t="s">
        <v>25</v>
      </c>
      <c r="C90" s="129">
        <v>12.0</v>
      </c>
      <c r="D90" s="128" t="s">
        <v>893</v>
      </c>
      <c r="E90" s="107"/>
      <c r="G90" s="42"/>
      <c r="H90" s="42"/>
      <c r="I90" s="42"/>
      <c r="J90" s="42"/>
      <c r="K90" s="42"/>
      <c r="L90" s="42"/>
      <c r="M90" s="42"/>
    </row>
    <row r="91">
      <c r="A91" s="127">
        <v>45617.0</v>
      </c>
      <c r="B91" s="128" t="s">
        <v>17</v>
      </c>
      <c r="C91" s="129">
        <v>10.0</v>
      </c>
      <c r="D91" s="128" t="s">
        <v>891</v>
      </c>
      <c r="E91" s="107"/>
      <c r="G91" s="42"/>
      <c r="H91" s="42"/>
      <c r="I91" s="42"/>
      <c r="J91" s="42"/>
      <c r="K91" s="42"/>
      <c r="L91" s="42"/>
      <c r="M91" s="42"/>
    </row>
    <row r="92">
      <c r="A92" s="122">
        <v>45618.0</v>
      </c>
      <c r="B92" s="123" t="s">
        <v>19</v>
      </c>
      <c r="C92" s="124">
        <v>33.19</v>
      </c>
      <c r="D92" s="123" t="s">
        <v>912</v>
      </c>
      <c r="E92" s="107"/>
      <c r="G92" s="42"/>
      <c r="H92" s="42"/>
      <c r="I92" s="42"/>
      <c r="J92" s="42"/>
      <c r="K92" s="42"/>
      <c r="L92" s="42"/>
      <c r="M92" s="42"/>
    </row>
    <row r="93">
      <c r="A93" s="130">
        <v>45618.0</v>
      </c>
      <c r="B93" s="106" t="s">
        <v>19</v>
      </c>
      <c r="C93" s="131">
        <v>8.86</v>
      </c>
      <c r="D93" s="131" t="s">
        <v>914</v>
      </c>
      <c r="E93" s="107"/>
      <c r="G93" s="42"/>
      <c r="H93" s="42"/>
      <c r="I93" s="42"/>
      <c r="J93" s="42"/>
      <c r="K93" s="42"/>
      <c r="L93" s="42"/>
      <c r="M93" s="42"/>
    </row>
    <row r="94">
      <c r="A94" s="44">
        <v>45619.0</v>
      </c>
      <c r="B94" s="106" t="s">
        <v>19</v>
      </c>
      <c r="C94" s="93">
        <v>39.79</v>
      </c>
      <c r="D94" s="41" t="s">
        <v>915</v>
      </c>
      <c r="E94" s="107"/>
      <c r="G94" s="42"/>
      <c r="H94" s="42"/>
      <c r="I94" s="42"/>
      <c r="J94" s="42"/>
      <c r="K94" s="42"/>
      <c r="L94" s="42"/>
      <c r="M94" s="42"/>
    </row>
    <row r="95">
      <c r="A95" s="44">
        <v>45619.0</v>
      </c>
      <c r="B95" s="106" t="s">
        <v>15</v>
      </c>
      <c r="C95" s="93">
        <v>332.0</v>
      </c>
      <c r="D95" s="41" t="s">
        <v>393</v>
      </c>
      <c r="E95" s="107"/>
      <c r="G95" s="42"/>
      <c r="H95" s="42"/>
      <c r="I95" s="42"/>
      <c r="J95" s="42"/>
      <c r="K95" s="42"/>
      <c r="L95" s="42"/>
      <c r="M95" s="42"/>
    </row>
    <row r="96">
      <c r="A96" s="44">
        <v>45619.0</v>
      </c>
      <c r="B96" s="106" t="s">
        <v>17</v>
      </c>
      <c r="C96" s="93">
        <v>47.68</v>
      </c>
      <c r="D96" s="41" t="s">
        <v>916</v>
      </c>
      <c r="E96" s="107"/>
      <c r="G96" s="42"/>
      <c r="H96" s="42"/>
      <c r="I96" s="42"/>
      <c r="J96" s="42"/>
      <c r="K96" s="42"/>
      <c r="L96" s="42"/>
      <c r="M96" s="42"/>
    </row>
    <row r="97">
      <c r="A97" s="130">
        <v>45620.0</v>
      </c>
      <c r="B97" s="106" t="s">
        <v>15</v>
      </c>
      <c r="C97" s="131">
        <v>5.3</v>
      </c>
      <c r="D97" s="131" t="s">
        <v>917</v>
      </c>
      <c r="E97" s="107"/>
      <c r="G97" s="42"/>
      <c r="H97" s="42"/>
      <c r="I97" s="42"/>
      <c r="J97" s="42"/>
      <c r="K97" s="42"/>
      <c r="L97" s="42"/>
      <c r="M97" s="42"/>
    </row>
    <row r="98">
      <c r="A98" s="130">
        <v>45620.0</v>
      </c>
      <c r="B98" s="106" t="s">
        <v>15</v>
      </c>
      <c r="C98" s="131">
        <v>71.26</v>
      </c>
      <c r="D98" s="131" t="s">
        <v>918</v>
      </c>
      <c r="E98" s="107"/>
      <c r="G98" s="42"/>
      <c r="H98" s="42"/>
      <c r="I98" s="42"/>
      <c r="J98" s="42"/>
      <c r="K98" s="42"/>
      <c r="L98" s="42"/>
      <c r="M98" s="42"/>
    </row>
    <row r="99">
      <c r="A99" s="122">
        <v>45622.0</v>
      </c>
      <c r="B99" s="123" t="s">
        <v>17</v>
      </c>
      <c r="C99" s="124">
        <v>20.31</v>
      </c>
      <c r="D99" s="123" t="s">
        <v>919</v>
      </c>
      <c r="E99" s="107"/>
      <c r="G99" s="42"/>
      <c r="H99" s="42"/>
      <c r="I99" s="42"/>
      <c r="J99" s="42"/>
      <c r="K99" s="42"/>
      <c r="L99" s="42"/>
      <c r="M99" s="42"/>
    </row>
    <row r="100">
      <c r="A100" s="122">
        <v>45622.0</v>
      </c>
      <c r="B100" s="123" t="s">
        <v>19</v>
      </c>
      <c r="C100" s="124">
        <v>19.94</v>
      </c>
      <c r="D100" s="123" t="s">
        <v>920</v>
      </c>
      <c r="E100" s="107"/>
      <c r="G100" s="42"/>
      <c r="H100" s="42"/>
      <c r="I100" s="42"/>
      <c r="J100" s="42"/>
      <c r="K100" s="42"/>
      <c r="L100" s="42"/>
      <c r="M100" s="42"/>
    </row>
    <row r="101">
      <c r="A101" s="122">
        <v>45622.0</v>
      </c>
      <c r="B101" s="123" t="s">
        <v>17</v>
      </c>
      <c r="C101" s="124">
        <v>7.51</v>
      </c>
      <c r="D101" s="123" t="s">
        <v>921</v>
      </c>
      <c r="E101" s="107"/>
      <c r="G101" s="42"/>
      <c r="H101" s="42"/>
      <c r="I101" s="42"/>
      <c r="J101" s="42"/>
      <c r="K101" s="42"/>
      <c r="L101" s="42"/>
      <c r="M101" s="42"/>
    </row>
    <row r="102">
      <c r="A102" s="122">
        <v>45622.0</v>
      </c>
      <c r="B102" s="123" t="s">
        <v>25</v>
      </c>
      <c r="C102" s="124">
        <v>5.25</v>
      </c>
      <c r="D102" s="123" t="s">
        <v>922</v>
      </c>
      <c r="E102" s="107"/>
      <c r="G102" s="42"/>
      <c r="H102" s="42"/>
      <c r="I102" s="42"/>
      <c r="J102" s="42"/>
      <c r="K102" s="42"/>
      <c r="L102" s="42"/>
      <c r="M102" s="42"/>
    </row>
    <row r="103">
      <c r="A103" s="122">
        <v>45622.0</v>
      </c>
      <c r="B103" s="123" t="s">
        <v>15</v>
      </c>
      <c r="C103" s="124">
        <v>2.78</v>
      </c>
      <c r="D103" s="123" t="s">
        <v>923</v>
      </c>
      <c r="E103" s="107"/>
      <c r="G103" s="42"/>
      <c r="H103" s="42"/>
      <c r="I103" s="42"/>
      <c r="J103" s="42"/>
      <c r="K103" s="42"/>
      <c r="L103" s="42"/>
      <c r="M103" s="42"/>
    </row>
    <row r="104">
      <c r="A104" s="122">
        <v>45622.0</v>
      </c>
      <c r="B104" s="123" t="s">
        <v>17</v>
      </c>
      <c r="C104" s="124">
        <v>1.08</v>
      </c>
      <c r="D104" s="123" t="s">
        <v>924</v>
      </c>
      <c r="E104" s="107"/>
      <c r="G104" s="42"/>
      <c r="H104" s="42"/>
      <c r="I104" s="42"/>
      <c r="J104" s="42"/>
      <c r="K104" s="42"/>
      <c r="L104" s="42"/>
      <c r="M104" s="42"/>
    </row>
    <row r="105">
      <c r="A105" s="44">
        <v>45622.0</v>
      </c>
      <c r="B105" s="106" t="s">
        <v>17</v>
      </c>
      <c r="C105" s="93">
        <v>127.5</v>
      </c>
      <c r="D105" s="41" t="s">
        <v>925</v>
      </c>
      <c r="E105" s="107"/>
      <c r="G105" s="42"/>
      <c r="H105" s="42"/>
      <c r="I105" s="42"/>
      <c r="J105" s="42"/>
      <c r="K105" s="42"/>
      <c r="L105" s="42"/>
      <c r="M105" s="42"/>
    </row>
    <row r="106">
      <c r="A106" s="44">
        <v>45623.0</v>
      </c>
      <c r="B106" s="106" t="s">
        <v>19</v>
      </c>
      <c r="C106" s="93">
        <v>34.0</v>
      </c>
      <c r="D106" s="41" t="s">
        <v>475</v>
      </c>
      <c r="E106" s="107"/>
      <c r="G106" s="42"/>
      <c r="H106" s="42"/>
      <c r="I106" s="42"/>
      <c r="J106" s="42"/>
      <c r="K106" s="42"/>
      <c r="L106" s="42"/>
      <c r="M106" s="42"/>
    </row>
    <row r="107">
      <c r="A107" s="44">
        <v>45623.0</v>
      </c>
      <c r="B107" s="106" t="s">
        <v>19</v>
      </c>
      <c r="C107" s="93">
        <v>174.64</v>
      </c>
      <c r="D107" s="41" t="s">
        <v>926</v>
      </c>
      <c r="E107" s="107"/>
      <c r="G107" s="42"/>
      <c r="H107" s="42"/>
      <c r="I107" s="42"/>
      <c r="J107" s="42"/>
      <c r="K107" s="42"/>
      <c r="L107" s="42"/>
      <c r="M107" s="42"/>
    </row>
    <row r="108">
      <c r="A108" s="122">
        <v>45625.0</v>
      </c>
      <c r="B108" s="123" t="s">
        <v>19</v>
      </c>
      <c r="C108" s="124">
        <v>240.0</v>
      </c>
      <c r="D108" s="123" t="s">
        <v>927</v>
      </c>
      <c r="E108" s="107"/>
      <c r="G108" s="42"/>
      <c r="H108" s="42"/>
      <c r="I108" s="42"/>
      <c r="J108" s="42"/>
      <c r="K108" s="42"/>
      <c r="L108" s="42"/>
      <c r="M108" s="42"/>
    </row>
    <row r="109">
      <c r="A109" s="122">
        <v>45625.0</v>
      </c>
      <c r="B109" s="123" t="s">
        <v>19</v>
      </c>
      <c r="C109" s="124">
        <v>164.28</v>
      </c>
      <c r="D109" s="123" t="s">
        <v>928</v>
      </c>
      <c r="E109" s="107"/>
      <c r="G109" s="42"/>
      <c r="H109" s="42"/>
      <c r="I109" s="42"/>
      <c r="J109" s="42"/>
      <c r="K109" s="42"/>
      <c r="L109" s="42"/>
      <c r="M109" s="42"/>
    </row>
    <row r="110">
      <c r="A110" s="122">
        <v>45625.0</v>
      </c>
      <c r="B110" s="123" t="s">
        <v>17</v>
      </c>
      <c r="C110" s="124">
        <v>42.03</v>
      </c>
      <c r="D110" s="123" t="s">
        <v>929</v>
      </c>
      <c r="E110" s="107"/>
      <c r="G110" s="42"/>
      <c r="H110" s="42"/>
      <c r="I110" s="42"/>
      <c r="J110" s="42"/>
      <c r="K110" s="42"/>
      <c r="L110" s="42"/>
      <c r="M110" s="42"/>
    </row>
    <row r="111">
      <c r="A111" s="130">
        <v>45625.0</v>
      </c>
      <c r="B111" s="106" t="s">
        <v>15</v>
      </c>
      <c r="C111" s="131">
        <v>3.0</v>
      </c>
      <c r="D111" s="131" t="s">
        <v>930</v>
      </c>
      <c r="E111" s="107"/>
      <c r="G111" s="42"/>
      <c r="H111" s="42"/>
      <c r="I111" s="42"/>
      <c r="J111" s="42"/>
      <c r="K111" s="42"/>
      <c r="L111" s="42"/>
      <c r="M111" s="42"/>
    </row>
    <row r="112">
      <c r="A112" s="130">
        <v>45625.0</v>
      </c>
      <c r="B112" s="106" t="s">
        <v>19</v>
      </c>
      <c r="C112" s="131">
        <v>-5.09</v>
      </c>
      <c r="D112" s="133" t="s">
        <v>931</v>
      </c>
      <c r="E112" s="107"/>
      <c r="G112" s="42"/>
      <c r="H112" s="42"/>
      <c r="I112" s="42"/>
      <c r="J112" s="42"/>
      <c r="K112" s="42"/>
      <c r="L112" s="42"/>
      <c r="M112" s="42"/>
    </row>
    <row r="113">
      <c r="A113" s="130">
        <v>45625.0</v>
      </c>
      <c r="B113" s="106" t="s">
        <v>15</v>
      </c>
      <c r="C113" s="131">
        <v>39.54</v>
      </c>
      <c r="D113" s="131" t="s">
        <v>932</v>
      </c>
      <c r="E113" s="107"/>
      <c r="G113" s="42"/>
      <c r="H113" s="42"/>
      <c r="I113" s="42"/>
      <c r="J113" s="42"/>
      <c r="K113" s="42"/>
      <c r="L113" s="42"/>
      <c r="M113" s="42"/>
    </row>
    <row r="114">
      <c r="A114" s="122">
        <v>45625.0</v>
      </c>
      <c r="B114" s="40" t="s">
        <v>17</v>
      </c>
      <c r="C114" s="41">
        <v>16.0</v>
      </c>
      <c r="D114" s="41" t="s">
        <v>800</v>
      </c>
      <c r="E114" s="107"/>
      <c r="G114" s="42"/>
      <c r="H114" s="42"/>
      <c r="I114" s="42"/>
      <c r="J114" s="42"/>
      <c r="K114" s="42"/>
      <c r="L114" s="42"/>
      <c r="M114" s="42"/>
    </row>
    <row r="115">
      <c r="A115" s="44"/>
      <c r="B115" s="40" t="s">
        <v>79</v>
      </c>
      <c r="C115" s="93">
        <v>35.0</v>
      </c>
      <c r="D115" s="93" t="s">
        <v>804</v>
      </c>
      <c r="E115" s="107"/>
      <c r="G115" s="42"/>
      <c r="H115" s="42"/>
      <c r="I115" s="42"/>
      <c r="J115" s="42"/>
      <c r="K115" s="42"/>
      <c r="L115" s="42"/>
      <c r="M115" s="42"/>
    </row>
    <row r="116">
      <c r="A116" s="44"/>
      <c r="B116" s="40" t="s">
        <v>15</v>
      </c>
      <c r="C116" s="93">
        <v>65.0</v>
      </c>
      <c r="D116" s="93" t="s">
        <v>64</v>
      </c>
      <c r="E116" s="107"/>
      <c r="G116" s="42"/>
      <c r="H116" s="42"/>
      <c r="I116" s="42"/>
      <c r="J116" s="42"/>
      <c r="K116" s="42"/>
      <c r="L116" s="42"/>
      <c r="M116" s="42"/>
    </row>
    <row r="117">
      <c r="A117" s="44"/>
      <c r="B117" s="40" t="s">
        <v>15</v>
      </c>
      <c r="C117" s="93">
        <v>1.99</v>
      </c>
      <c r="D117" s="93" t="s">
        <v>805</v>
      </c>
      <c r="E117" s="107"/>
      <c r="G117" s="42"/>
      <c r="H117" s="42"/>
      <c r="I117" s="42"/>
      <c r="J117" s="42"/>
      <c r="K117" s="42"/>
      <c r="L117" s="42"/>
      <c r="M117" s="42"/>
    </row>
    <row r="118">
      <c r="A118" s="122"/>
      <c r="B118" s="123"/>
      <c r="C118" s="124"/>
      <c r="D118" s="123"/>
      <c r="E118" s="107"/>
      <c r="G118" s="42"/>
      <c r="H118" s="42"/>
      <c r="I118" s="42"/>
      <c r="J118" s="42"/>
      <c r="K118" s="42"/>
      <c r="L118" s="42"/>
      <c r="M118" s="42"/>
    </row>
    <row r="119">
      <c r="A119" s="122"/>
      <c r="B119" s="123"/>
      <c r="C119" s="124"/>
      <c r="D119" s="123"/>
      <c r="E119" s="107"/>
      <c r="G119" s="42"/>
      <c r="H119" s="42"/>
      <c r="I119" s="42"/>
      <c r="J119" s="42"/>
      <c r="K119" s="42"/>
      <c r="L119" s="42"/>
      <c r="M119" s="42"/>
    </row>
    <row r="120">
      <c r="A120" s="134"/>
      <c r="B120" s="105"/>
      <c r="C120" s="135"/>
      <c r="D120" s="108"/>
      <c r="E120" s="107"/>
      <c r="G120" s="42"/>
      <c r="H120" s="42"/>
      <c r="I120" s="42"/>
      <c r="J120" s="42"/>
      <c r="K120" s="42"/>
      <c r="L120" s="42"/>
      <c r="M120" s="42"/>
    </row>
    <row r="121">
      <c r="A121" s="134"/>
      <c r="B121" s="105"/>
      <c r="C121" s="135"/>
      <c r="D121" s="108"/>
      <c r="E121" s="107"/>
      <c r="G121" s="42"/>
      <c r="H121" s="42"/>
      <c r="I121" s="42"/>
      <c r="J121" s="42"/>
      <c r="K121" s="42"/>
      <c r="L121" s="42"/>
      <c r="M121" s="42"/>
    </row>
    <row r="122">
      <c r="A122" s="136"/>
      <c r="B122" s="113"/>
      <c r="C122" s="137"/>
      <c r="D122" s="138"/>
      <c r="E122" s="107"/>
      <c r="G122" s="42"/>
      <c r="H122" s="42"/>
      <c r="I122" s="42"/>
      <c r="J122" s="42"/>
      <c r="K122" s="42"/>
      <c r="L122" s="42"/>
      <c r="M122" s="42"/>
    </row>
    <row r="123">
      <c r="A123" s="44"/>
      <c r="B123" s="113"/>
      <c r="C123" s="93"/>
      <c r="D123" s="41"/>
      <c r="E123" s="107"/>
      <c r="G123" s="42"/>
      <c r="H123" s="42"/>
      <c r="I123" s="42"/>
      <c r="J123" s="42"/>
      <c r="K123" s="42"/>
      <c r="L123" s="42"/>
      <c r="M123" s="42"/>
    </row>
    <row r="124">
      <c r="A124" s="44"/>
      <c r="B124" s="113"/>
      <c r="C124" s="93"/>
      <c r="D124" s="41"/>
      <c r="E124" s="107"/>
      <c r="G124" s="42"/>
      <c r="H124" s="42"/>
      <c r="I124" s="42"/>
      <c r="J124" s="42"/>
      <c r="K124" s="42"/>
      <c r="L124" s="42"/>
      <c r="M124" s="42"/>
    </row>
    <row r="125">
      <c r="A125" s="139"/>
      <c r="B125" s="140"/>
      <c r="C125" s="141"/>
      <c r="D125" s="140"/>
      <c r="E125" s="107"/>
      <c r="G125" s="42"/>
      <c r="H125" s="42"/>
      <c r="I125" s="42"/>
      <c r="J125" s="42"/>
      <c r="K125" s="42"/>
      <c r="L125" s="42"/>
      <c r="M125" s="42"/>
    </row>
    <row r="126">
      <c r="A126" s="139"/>
      <c r="B126" s="140"/>
      <c r="C126" s="141"/>
      <c r="D126" s="140"/>
      <c r="E126" s="107"/>
      <c r="G126" s="42"/>
      <c r="H126" s="42"/>
      <c r="I126" s="42"/>
      <c r="J126" s="42"/>
      <c r="K126" s="42"/>
      <c r="L126" s="42"/>
      <c r="M126" s="42"/>
    </row>
    <row r="127">
      <c r="A127" s="139"/>
      <c r="B127" s="140"/>
      <c r="C127" s="141"/>
      <c r="D127" s="140"/>
      <c r="E127" s="107"/>
      <c r="G127" s="42"/>
      <c r="H127" s="42"/>
      <c r="I127" s="42"/>
      <c r="J127" s="42"/>
      <c r="K127" s="42"/>
      <c r="L127" s="42"/>
      <c r="M127" s="42"/>
    </row>
    <row r="128">
      <c r="A128" s="139"/>
      <c r="B128" s="140"/>
      <c r="C128" s="141"/>
      <c r="D128" s="140"/>
      <c r="E128" s="132"/>
      <c r="G128" s="42"/>
      <c r="H128" s="42"/>
      <c r="I128" s="42"/>
      <c r="J128" s="42"/>
      <c r="K128" s="42"/>
      <c r="L128" s="42"/>
      <c r="M128" s="42"/>
    </row>
    <row r="129">
      <c r="A129" s="136"/>
      <c r="B129" s="113"/>
      <c r="C129" s="137"/>
      <c r="D129" s="138"/>
      <c r="E129" s="107"/>
      <c r="G129" s="42"/>
      <c r="H129" s="42"/>
      <c r="I129" s="42"/>
      <c r="J129" s="42"/>
      <c r="K129" s="42"/>
      <c r="L129" s="42"/>
      <c r="M129" s="42"/>
    </row>
    <row r="130">
      <c r="A130" s="136"/>
      <c r="B130" s="113"/>
      <c r="C130" s="137"/>
      <c r="D130" s="138"/>
      <c r="E130" s="107"/>
      <c r="G130" s="42"/>
      <c r="H130" s="42"/>
      <c r="I130" s="42"/>
      <c r="J130" s="42"/>
      <c r="K130" s="42"/>
      <c r="L130" s="42"/>
      <c r="M130" s="42"/>
    </row>
    <row r="131">
      <c r="A131" s="139"/>
      <c r="B131" s="140"/>
      <c r="C131" s="141"/>
      <c r="D131" s="140"/>
      <c r="E131" s="107"/>
      <c r="G131" s="42"/>
      <c r="H131" s="42"/>
      <c r="I131" s="42"/>
      <c r="J131" s="42"/>
      <c r="K131" s="42"/>
      <c r="L131" s="42"/>
      <c r="M131" s="42"/>
    </row>
    <row r="132">
      <c r="A132" s="139"/>
      <c r="B132" s="140"/>
      <c r="C132" s="141"/>
      <c r="D132" s="140"/>
      <c r="E132" s="107"/>
      <c r="G132" s="42"/>
      <c r="H132" s="42"/>
      <c r="I132" s="42"/>
      <c r="J132" s="42"/>
      <c r="K132" s="42"/>
      <c r="L132" s="42"/>
      <c r="M132" s="42"/>
    </row>
    <row r="133">
      <c r="A133" s="139"/>
      <c r="B133" s="142"/>
      <c r="C133" s="141"/>
      <c r="D133" s="142"/>
      <c r="E133" s="107"/>
      <c r="G133" s="42"/>
      <c r="H133" s="42"/>
      <c r="I133" s="42"/>
      <c r="J133" s="42"/>
      <c r="K133" s="42"/>
      <c r="L133" s="42"/>
      <c r="M133" s="42"/>
    </row>
    <row r="134">
      <c r="A134" s="44"/>
      <c r="B134" s="113"/>
      <c r="C134" s="93"/>
      <c r="D134" s="41"/>
      <c r="E134" s="107"/>
      <c r="G134" s="42"/>
      <c r="H134" s="42"/>
      <c r="I134" s="42"/>
      <c r="J134" s="42"/>
      <c r="K134" s="42"/>
      <c r="L134" s="42"/>
      <c r="M134" s="42"/>
    </row>
    <row r="135">
      <c r="A135" s="44"/>
      <c r="B135" s="113"/>
      <c r="C135" s="93"/>
      <c r="D135" s="41"/>
      <c r="E135" s="107"/>
      <c r="G135" s="42"/>
      <c r="H135" s="42"/>
      <c r="I135" s="42"/>
      <c r="J135" s="42"/>
      <c r="K135" s="42"/>
      <c r="L135" s="42"/>
      <c r="M135" s="42"/>
    </row>
    <row r="136">
      <c r="A136" s="44"/>
      <c r="B136" s="113"/>
      <c r="C136" s="93"/>
      <c r="D136" s="41"/>
      <c r="E136" s="107"/>
      <c r="G136" s="42"/>
      <c r="H136" s="42"/>
      <c r="I136" s="42"/>
      <c r="J136" s="42"/>
      <c r="K136" s="42"/>
      <c r="L136" s="42"/>
      <c r="M136" s="42"/>
    </row>
    <row r="137">
      <c r="A137" s="44"/>
      <c r="B137" s="113"/>
      <c r="C137" s="93"/>
      <c r="D137" s="41"/>
      <c r="E137" s="107"/>
      <c r="G137" s="42"/>
      <c r="H137" s="42"/>
      <c r="I137" s="42"/>
      <c r="J137" s="42"/>
      <c r="K137" s="42"/>
      <c r="L137" s="42"/>
      <c r="M137" s="42"/>
    </row>
    <row r="138">
      <c r="A138" s="44"/>
      <c r="B138" s="113"/>
      <c r="C138" s="93"/>
      <c r="D138" s="41"/>
      <c r="E138" s="107"/>
      <c r="G138" s="42"/>
      <c r="H138" s="42"/>
      <c r="I138" s="42"/>
      <c r="J138" s="42"/>
      <c r="K138" s="42"/>
      <c r="L138" s="42"/>
      <c r="M138" s="42"/>
    </row>
    <row r="139">
      <c r="A139" s="44"/>
      <c r="B139" s="113"/>
      <c r="C139" s="93"/>
      <c r="D139" s="41"/>
      <c r="E139" s="107"/>
      <c r="G139" s="42"/>
      <c r="H139" s="42"/>
      <c r="I139" s="42"/>
      <c r="J139" s="42"/>
      <c r="K139" s="42"/>
      <c r="L139" s="42"/>
      <c r="M139" s="42"/>
    </row>
    <row r="140">
      <c r="A140" s="44"/>
      <c r="B140" s="113"/>
      <c r="C140" s="93"/>
      <c r="D140" s="41"/>
      <c r="E140" s="107"/>
      <c r="G140" s="42"/>
      <c r="H140" s="42"/>
      <c r="I140" s="42"/>
      <c r="J140" s="42"/>
      <c r="K140" s="42"/>
      <c r="L140" s="42"/>
      <c r="M140" s="42"/>
    </row>
    <row r="141">
      <c r="A141" s="44"/>
      <c r="B141" s="113"/>
      <c r="C141" s="93"/>
      <c r="D141" s="41"/>
      <c r="E141" s="107"/>
      <c r="G141" s="42"/>
      <c r="H141" s="42"/>
      <c r="I141" s="42"/>
      <c r="J141" s="42"/>
      <c r="K141" s="42"/>
      <c r="L141" s="42"/>
      <c r="M141" s="42"/>
    </row>
    <row r="142">
      <c r="A142" s="44"/>
      <c r="B142" s="113"/>
      <c r="C142" s="93"/>
      <c r="D142" s="41"/>
      <c r="E142" s="107"/>
      <c r="G142" s="42"/>
      <c r="H142" s="42"/>
      <c r="I142" s="42"/>
      <c r="J142" s="42"/>
      <c r="K142" s="42"/>
      <c r="L142" s="42"/>
      <c r="M142" s="42"/>
    </row>
    <row r="143">
      <c r="A143" s="44"/>
      <c r="B143" s="113"/>
      <c r="C143" s="93"/>
      <c r="D143" s="41"/>
      <c r="E143" s="107"/>
      <c r="G143" s="42"/>
      <c r="H143" s="42"/>
      <c r="I143" s="42"/>
      <c r="J143" s="42"/>
      <c r="K143" s="42"/>
      <c r="L143" s="42"/>
      <c r="M143" s="42"/>
    </row>
    <row r="144">
      <c r="A144" s="44"/>
      <c r="B144" s="113"/>
      <c r="C144" s="93"/>
      <c r="D144" s="41"/>
      <c r="E144" s="107"/>
      <c r="G144" s="42"/>
      <c r="H144" s="42"/>
      <c r="I144" s="42"/>
      <c r="J144" s="42"/>
      <c r="K144" s="42"/>
      <c r="L144" s="42"/>
      <c r="M144" s="42"/>
    </row>
    <row r="145">
      <c r="A145" s="44"/>
      <c r="B145" s="113"/>
      <c r="C145" s="93"/>
      <c r="D145" s="41"/>
      <c r="E145" s="107"/>
      <c r="G145" s="42"/>
      <c r="H145" s="42"/>
      <c r="I145" s="42"/>
      <c r="J145" s="42"/>
      <c r="K145" s="42"/>
      <c r="L145" s="42"/>
      <c r="M145" s="42"/>
    </row>
    <row r="146">
      <c r="A146" s="44"/>
      <c r="B146" s="113"/>
      <c r="C146" s="93"/>
      <c r="D146" s="41"/>
      <c r="E146" s="107"/>
      <c r="G146" s="42"/>
      <c r="H146" s="42"/>
      <c r="I146" s="42"/>
      <c r="J146" s="42"/>
      <c r="K146" s="42"/>
      <c r="L146" s="42"/>
      <c r="M146" s="42"/>
    </row>
    <row r="147">
      <c r="A147" s="44"/>
      <c r="B147" s="113"/>
      <c r="C147" s="93"/>
      <c r="D147" s="41"/>
      <c r="E147" s="107"/>
      <c r="G147" s="42"/>
      <c r="H147" s="42"/>
      <c r="I147" s="42"/>
      <c r="J147" s="42"/>
      <c r="K147" s="42"/>
      <c r="L147" s="42"/>
      <c r="M147" s="42"/>
    </row>
    <row r="148">
      <c r="A148" s="44"/>
      <c r="B148" s="113"/>
      <c r="C148" s="93"/>
      <c r="D148" s="41"/>
      <c r="E148" s="107"/>
      <c r="G148" s="42"/>
      <c r="H148" s="42"/>
      <c r="I148" s="42"/>
      <c r="J148" s="42"/>
      <c r="K148" s="42"/>
      <c r="L148" s="42"/>
      <c r="M148" s="42"/>
    </row>
    <row r="149">
      <c r="A149" s="44"/>
      <c r="B149" s="113"/>
      <c r="C149" s="93"/>
      <c r="D149" s="41"/>
      <c r="E149" s="107"/>
      <c r="G149" s="42"/>
      <c r="H149" s="42"/>
      <c r="I149" s="42"/>
      <c r="J149" s="42"/>
      <c r="K149" s="42"/>
      <c r="L149" s="42"/>
      <c r="M149" s="42"/>
    </row>
    <row r="150">
      <c r="A150" s="44"/>
      <c r="B150" s="113"/>
      <c r="C150" s="93"/>
      <c r="D150" s="41"/>
      <c r="E150" s="107"/>
      <c r="G150" s="42"/>
      <c r="H150" s="42"/>
      <c r="I150" s="42"/>
      <c r="J150" s="42"/>
      <c r="K150" s="42"/>
      <c r="L150" s="42"/>
      <c r="M150" s="42"/>
    </row>
    <row r="151">
      <c r="A151" s="44"/>
      <c r="B151" s="113"/>
      <c r="C151" s="93"/>
      <c r="D151" s="41"/>
      <c r="E151" s="107"/>
      <c r="G151" s="42"/>
      <c r="H151" s="42"/>
      <c r="I151" s="42"/>
      <c r="J151" s="42"/>
      <c r="K151" s="42"/>
      <c r="L151" s="42"/>
      <c r="M151" s="42"/>
    </row>
    <row r="152">
      <c r="A152" s="44"/>
      <c r="B152" s="113"/>
      <c r="C152" s="93"/>
      <c r="D152" s="41"/>
      <c r="E152" s="107"/>
      <c r="G152" s="42"/>
      <c r="H152" s="42"/>
      <c r="I152" s="42"/>
      <c r="J152" s="42"/>
      <c r="K152" s="42"/>
      <c r="L152" s="42"/>
      <c r="M152" s="42"/>
    </row>
    <row r="153">
      <c r="A153" s="44"/>
      <c r="B153" s="113"/>
      <c r="C153" s="93"/>
      <c r="D153" s="41"/>
      <c r="E153" s="107"/>
      <c r="G153" s="42"/>
      <c r="H153" s="42"/>
      <c r="I153" s="42"/>
      <c r="J153" s="42"/>
      <c r="K153" s="42"/>
      <c r="L153" s="42"/>
      <c r="M153" s="42"/>
    </row>
  </sheetData>
  <autoFilter ref="$A$33:$D$135">
    <sortState ref="A33:D135">
      <sortCondition ref="A33:A135"/>
    </sortState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9 D53 D55:D58 D60:D67 D70:D71 D73 D76:D81 D83:D86 D88 B32:B91 D90:D92 D99:D104 D108:D110 D118:D119 D125:D128 D131:D133 B93:B153">
      <formula1>'Hidden list and Figures'!$A$3:$A$15</formula1>
    </dataValidation>
    <dataValidation type="custom" allowBlank="1" showDropDown="1" showInputMessage="1" prompt="Select a date" sqref="A34:A153">
      <formula1>OR(NOT(ISERROR(DATEVALUE(A34))), AND(ISNUMBER(A34), LEFT(CELL("format", A34))="D"))</formula1>
    </dataValidation>
    <dataValidation type="list" allowBlank="1" sqref="B92">
      <formula1>'Hidden list and Figures'!$A$3:$A$15</formula1>
    </dataValidation>
  </dataValidations>
  <hyperlinks>
    <hyperlink r:id="rId1" ref="D11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sumif($B$20:$C$508,A6,$C$20:$C$508)</f>
        <v>1666.94</v>
      </c>
      <c r="D6" s="17">
        <f t="shared" ref="D6:D16" si="2">B6-C6</f>
        <v>996.74</v>
      </c>
      <c r="E6" s="18">
        <f t="shared" ref="E6:E17" si="3">D6/B6</f>
        <v>0.3741966002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4200.0</v>
      </c>
    </row>
    <row r="8">
      <c r="A8" s="21" t="s">
        <v>14</v>
      </c>
      <c r="B8" s="22">
        <v>250.0</v>
      </c>
      <c r="C8" s="16">
        <f t="shared" si="1"/>
        <v>216.2</v>
      </c>
      <c r="D8" s="23">
        <f t="shared" si="2"/>
        <v>33.8</v>
      </c>
      <c r="E8" s="18">
        <f t="shared" si="3"/>
        <v>0.1352</v>
      </c>
      <c r="G8" s="64" t="s">
        <v>27</v>
      </c>
      <c r="H8" s="92">
        <f>SUM(H6:H7)</f>
        <v>4200</v>
      </c>
    </row>
    <row r="9">
      <c r="A9" s="24" t="s">
        <v>15</v>
      </c>
      <c r="B9" s="22">
        <v>400.0</v>
      </c>
      <c r="C9" s="16">
        <f t="shared" si="1"/>
        <v>768.13</v>
      </c>
      <c r="D9" s="23">
        <f t="shared" si="2"/>
        <v>-368.13</v>
      </c>
      <c r="E9" s="18">
        <f t="shared" si="3"/>
        <v>-0.920325</v>
      </c>
    </row>
    <row r="10">
      <c r="A10" s="24" t="s">
        <v>17</v>
      </c>
      <c r="B10" s="22">
        <v>400.0</v>
      </c>
      <c r="C10" s="16">
        <f t="shared" si="1"/>
        <v>1057.36</v>
      </c>
      <c r="D10" s="23">
        <f t="shared" si="2"/>
        <v>-657.36</v>
      </c>
      <c r="E10" s="18">
        <f t="shared" si="3"/>
        <v>-1.6434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388.88</v>
      </c>
      <c r="D11" s="23">
        <f t="shared" si="2"/>
        <v>-188.88</v>
      </c>
      <c r="E11" s="18">
        <f t="shared" si="3"/>
        <v>-0.9444</v>
      </c>
      <c r="G11" s="19" t="s">
        <v>18</v>
      </c>
      <c r="H11" s="14">
        <f>sum(C17)</f>
        <v>5513.97</v>
      </c>
    </row>
    <row r="12">
      <c r="A12" s="24" t="s">
        <v>79</v>
      </c>
      <c r="B12" s="22">
        <v>500.0</v>
      </c>
      <c r="C12" s="16">
        <f t="shared" si="1"/>
        <v>170.98</v>
      </c>
      <c r="D12" s="23">
        <f t="shared" si="2"/>
        <v>329.02</v>
      </c>
      <c r="E12" s="18">
        <f t="shared" si="3"/>
        <v>0.65804</v>
      </c>
      <c r="H12" s="14"/>
    </row>
    <row r="13">
      <c r="A13" s="25" t="s">
        <v>22</v>
      </c>
      <c r="B13" s="22">
        <v>200.0</v>
      </c>
      <c r="C13" s="16">
        <f t="shared" si="1"/>
        <v>18.1</v>
      </c>
      <c r="D13" s="23">
        <f t="shared" si="2"/>
        <v>181.9</v>
      </c>
      <c r="E13" s="18">
        <f t="shared" si="3"/>
        <v>0.9095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34.55</v>
      </c>
      <c r="D14" s="23">
        <f t="shared" si="2"/>
        <v>-34.55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384.11</v>
      </c>
      <c r="D15" s="28">
        <f t="shared" si="2"/>
        <v>-84.11</v>
      </c>
      <c r="E15" s="18">
        <f t="shared" si="3"/>
        <v>-0.2803666667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808.72</v>
      </c>
      <c r="D16" s="28">
        <f t="shared" si="2"/>
        <v>-808.72</v>
      </c>
      <c r="E16" s="18" t="str">
        <f t="shared" si="3"/>
        <v>#DIV/0!</v>
      </c>
      <c r="F16" s="32"/>
      <c r="G16" s="13" t="s">
        <v>26</v>
      </c>
      <c r="H16" s="47">
        <f>SUMIF($B$20:$C$222,"Travel",$C$20:$C$222)</f>
        <v>170.98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5513.97</v>
      </c>
      <c r="D17" s="31">
        <f>SUM(D6:D15)</f>
        <v>208.43</v>
      </c>
      <c r="E17" s="18">
        <f t="shared" si="3"/>
        <v>0.0424183097</v>
      </c>
      <c r="F17" s="36"/>
      <c r="G17" s="13" t="s">
        <v>28</v>
      </c>
      <c r="H17" s="33">
        <f>500-SUMIF($B$20:$C$222,"Travel",$C$20:$C$222)+'April 2024'!H17</f>
        <v>832.26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/>
      <c r="B21" s="40"/>
      <c r="C21" s="41"/>
      <c r="D21" s="95"/>
      <c r="E21" s="41"/>
      <c r="G21" s="42"/>
      <c r="H21" s="42"/>
      <c r="I21" s="42"/>
      <c r="J21" s="42"/>
      <c r="K21" s="42"/>
      <c r="L21" s="42"/>
      <c r="M21" s="42"/>
    </row>
    <row r="22">
      <c r="A22" s="40"/>
      <c r="B22" s="40"/>
      <c r="C22" s="41"/>
      <c r="D22" s="95"/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21.0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102">
        <v>40.0</v>
      </c>
      <c r="D24" s="41" t="s">
        <v>23</v>
      </c>
      <c r="E24" s="41"/>
      <c r="G24" s="19" t="s">
        <v>750</v>
      </c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2.87</v>
      </c>
      <c r="D25" s="41" t="s">
        <v>39</v>
      </c>
      <c r="E25" s="41"/>
      <c r="F25" s="19" t="s">
        <v>751</v>
      </c>
      <c r="G25" s="42">
        <f>8.62+3758.03</f>
        <v>3766.65</v>
      </c>
      <c r="H25" s="40" t="s">
        <v>752</v>
      </c>
      <c r="I25" s="42"/>
      <c r="J25" s="40"/>
      <c r="K25" s="42"/>
      <c r="L25" s="42"/>
      <c r="M25" s="42"/>
    </row>
    <row r="26">
      <c r="A26" s="40" t="s">
        <v>32</v>
      </c>
      <c r="B26" s="40" t="s">
        <v>10</v>
      </c>
      <c r="C26" s="41">
        <v>2.99</v>
      </c>
      <c r="D26" s="41" t="s">
        <v>40</v>
      </c>
      <c r="E26" s="41"/>
      <c r="F26" s="19" t="s">
        <v>753</v>
      </c>
      <c r="G26" s="40">
        <v>0.0</v>
      </c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5.83</v>
      </c>
      <c r="D27" s="41" t="s">
        <v>41</v>
      </c>
      <c r="E27" s="41"/>
      <c r="F27" s="19" t="s">
        <v>754</v>
      </c>
      <c r="G27" s="40">
        <v>965.33</v>
      </c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6.25</v>
      </c>
      <c r="D28" s="41" t="s">
        <v>488</v>
      </c>
      <c r="E28" s="41"/>
      <c r="F28" s="19" t="s">
        <v>755</v>
      </c>
      <c r="G28" s="42">
        <f>274.97+19.17+184.41+1077.59+1829.28</f>
        <v>3385.42</v>
      </c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112.0</v>
      </c>
      <c r="D29" s="41" t="s">
        <v>42</v>
      </c>
      <c r="E29" s="41"/>
      <c r="F29" s="19" t="s">
        <v>756</v>
      </c>
      <c r="G29" s="42">
        <f>27.87</f>
        <v>27.87</v>
      </c>
      <c r="H29" s="40" t="s">
        <v>757</v>
      </c>
      <c r="I29" s="42"/>
      <c r="J29" s="42"/>
      <c r="K29" s="42"/>
      <c r="L29" s="42"/>
      <c r="M29" s="42"/>
    </row>
    <row r="30">
      <c r="E30" s="41"/>
      <c r="F30" s="19" t="s">
        <v>758</v>
      </c>
      <c r="G30" s="40">
        <v>1388.4</v>
      </c>
      <c r="H30" s="42"/>
      <c r="I30" s="42"/>
      <c r="J30" s="42"/>
      <c r="K30" s="42"/>
      <c r="L30" s="42"/>
      <c r="M30" s="42"/>
    </row>
    <row r="31">
      <c r="E31" s="41"/>
      <c r="F31" s="19" t="s">
        <v>759</v>
      </c>
      <c r="G31" s="42">
        <f>SUM(G25:G30)</f>
        <v>9533.67</v>
      </c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F32" s="19" t="s">
        <v>33</v>
      </c>
      <c r="G32" s="40">
        <v>2900.0</v>
      </c>
      <c r="H32" s="42"/>
      <c r="I32" s="42"/>
      <c r="J32" s="42"/>
      <c r="K32" s="42"/>
      <c r="L32" s="42"/>
      <c r="M32" s="42"/>
    </row>
    <row r="33">
      <c r="A33" s="44"/>
      <c r="B33" s="40"/>
      <c r="C33" s="41"/>
      <c r="D33" s="41"/>
      <c r="E33" s="41"/>
      <c r="G33" s="40">
        <v>8000.0</v>
      </c>
      <c r="H33" s="42"/>
      <c r="I33" s="42"/>
      <c r="J33" s="42"/>
      <c r="K33" s="42"/>
      <c r="L33" s="42"/>
      <c r="M33" s="42"/>
    </row>
    <row r="34">
      <c r="A34" s="139">
        <v>45627.0</v>
      </c>
      <c r="B34" s="140" t="s">
        <v>17</v>
      </c>
      <c r="C34" s="141">
        <v>38.42</v>
      </c>
      <c r="D34" s="140" t="s">
        <v>933</v>
      </c>
      <c r="E34" s="104">
        <v>-1.25</v>
      </c>
      <c r="G34" s="42"/>
      <c r="H34" s="42"/>
      <c r="I34" s="42"/>
      <c r="J34" s="42"/>
      <c r="K34" s="42"/>
      <c r="L34" s="42"/>
      <c r="M34" s="42"/>
    </row>
    <row r="35">
      <c r="A35" s="139">
        <v>45627.0</v>
      </c>
      <c r="B35" s="140" t="s">
        <v>17</v>
      </c>
      <c r="C35" s="141">
        <v>10.28</v>
      </c>
      <c r="D35" s="140" t="s">
        <v>934</v>
      </c>
      <c r="E35" s="107">
        <v>-21.27</v>
      </c>
      <c r="G35" s="42"/>
      <c r="H35" s="42"/>
      <c r="I35" s="42"/>
      <c r="J35" s="42"/>
      <c r="K35" s="42"/>
      <c r="L35" s="42"/>
      <c r="M35" s="42"/>
    </row>
    <row r="36">
      <c r="A36" s="136">
        <v>45627.0</v>
      </c>
      <c r="B36" s="113" t="s">
        <v>19</v>
      </c>
      <c r="C36" s="137">
        <v>25.7</v>
      </c>
      <c r="D36" s="138" t="s">
        <v>935</v>
      </c>
      <c r="E36" s="107">
        <v>-15.14</v>
      </c>
      <c r="G36" s="42"/>
      <c r="H36" s="42"/>
      <c r="I36" s="42"/>
      <c r="J36" s="42"/>
      <c r="K36" s="42"/>
      <c r="L36" s="42"/>
      <c r="M36" s="42"/>
    </row>
    <row r="37">
      <c r="A37" s="136">
        <v>45627.0</v>
      </c>
      <c r="B37" s="113" t="s">
        <v>15</v>
      </c>
      <c r="C37" s="137">
        <v>9.99</v>
      </c>
      <c r="D37" s="138" t="s">
        <v>936</v>
      </c>
      <c r="E37" s="132"/>
      <c r="G37" s="42"/>
      <c r="H37" s="42"/>
      <c r="I37" s="42"/>
      <c r="J37" s="42"/>
      <c r="K37" s="42"/>
      <c r="L37" s="42"/>
      <c r="M37" s="42"/>
    </row>
    <row r="38">
      <c r="A38" s="136">
        <v>45627.0</v>
      </c>
      <c r="B38" s="113" t="s">
        <v>19</v>
      </c>
      <c r="C38" s="137">
        <v>26.35</v>
      </c>
      <c r="D38" s="138" t="s">
        <v>937</v>
      </c>
      <c r="E38" s="107"/>
      <c r="G38" s="42"/>
      <c r="H38" s="42"/>
      <c r="I38" s="42"/>
      <c r="J38" s="42"/>
      <c r="K38" s="42"/>
      <c r="L38" s="42"/>
      <c r="M38" s="42"/>
    </row>
    <row r="39">
      <c r="A39" s="44">
        <v>45627.0</v>
      </c>
      <c r="B39" s="113" t="s">
        <v>15</v>
      </c>
      <c r="C39" s="93">
        <v>160.0</v>
      </c>
      <c r="D39" s="41" t="s">
        <v>57</v>
      </c>
      <c r="E39" s="107"/>
      <c r="G39" s="42"/>
      <c r="H39" s="42"/>
      <c r="I39" s="42"/>
      <c r="J39" s="42"/>
      <c r="K39" s="42"/>
      <c r="L39" s="42"/>
      <c r="M39" s="42"/>
    </row>
    <row r="40">
      <c r="A40" s="44">
        <v>45627.0</v>
      </c>
      <c r="B40" s="113" t="s">
        <v>17</v>
      </c>
      <c r="C40" s="93">
        <v>47.73</v>
      </c>
      <c r="D40" s="41" t="s">
        <v>938</v>
      </c>
      <c r="E40" s="107"/>
      <c r="G40" s="42"/>
      <c r="H40" s="42"/>
      <c r="I40" s="42"/>
      <c r="J40" s="42"/>
      <c r="K40" s="42"/>
      <c r="L40" s="42"/>
      <c r="M40" s="42"/>
    </row>
    <row r="41">
      <c r="A41" s="139">
        <v>45628.0</v>
      </c>
      <c r="B41" s="140" t="s">
        <v>19</v>
      </c>
      <c r="C41" s="141">
        <v>11.35</v>
      </c>
      <c r="D41" s="140" t="s">
        <v>928</v>
      </c>
      <c r="E41" s="107"/>
      <c r="G41" s="42"/>
      <c r="H41" s="42"/>
      <c r="I41" s="42"/>
      <c r="J41" s="42"/>
      <c r="K41" s="42"/>
      <c r="L41" s="42"/>
      <c r="M41" s="42"/>
    </row>
    <row r="42">
      <c r="A42" s="139">
        <v>45629.0</v>
      </c>
      <c r="B42" s="140" t="s">
        <v>17</v>
      </c>
      <c r="C42" s="141">
        <v>5.36</v>
      </c>
      <c r="D42" s="140" t="s">
        <v>939</v>
      </c>
      <c r="E42" s="107"/>
      <c r="G42" s="42"/>
      <c r="H42" s="42"/>
      <c r="I42" s="42"/>
      <c r="J42" s="42"/>
      <c r="K42" s="42"/>
      <c r="L42" s="42"/>
      <c r="M42" s="42"/>
    </row>
    <row r="43">
      <c r="A43" s="139">
        <v>45629.0</v>
      </c>
      <c r="B43" s="140" t="s">
        <v>19</v>
      </c>
      <c r="C43" s="141">
        <v>1.25</v>
      </c>
      <c r="D43" s="140" t="s">
        <v>910</v>
      </c>
      <c r="E43" s="107"/>
      <c r="G43" s="42"/>
      <c r="H43" s="42"/>
      <c r="I43" s="42"/>
      <c r="J43" s="42"/>
      <c r="K43" s="42"/>
      <c r="L43" s="42"/>
      <c r="M43" s="42"/>
    </row>
    <row r="44">
      <c r="A44" s="139">
        <v>45629.0</v>
      </c>
      <c r="B44" s="140" t="s">
        <v>19</v>
      </c>
      <c r="C44" s="141">
        <v>1.25</v>
      </c>
      <c r="D44" s="140" t="s">
        <v>910</v>
      </c>
      <c r="E44" s="107"/>
      <c r="G44" s="42"/>
      <c r="H44" s="42"/>
      <c r="I44" s="42"/>
      <c r="J44" s="42"/>
      <c r="K44" s="42"/>
      <c r="L44" s="42"/>
      <c r="M44" s="42"/>
    </row>
    <row r="45">
      <c r="A45" s="136">
        <v>45629.0</v>
      </c>
      <c r="B45" s="113" t="s">
        <v>15</v>
      </c>
      <c r="C45" s="137">
        <v>-7.29</v>
      </c>
      <c r="D45" s="143" t="s">
        <v>931</v>
      </c>
      <c r="E45" s="107"/>
      <c r="G45" s="42"/>
      <c r="H45" s="42"/>
      <c r="I45" s="42"/>
      <c r="J45" s="42"/>
      <c r="K45" s="42"/>
      <c r="L45" s="42"/>
      <c r="M45" s="42"/>
    </row>
    <row r="46">
      <c r="A46" s="136">
        <v>45629.0</v>
      </c>
      <c r="B46" s="113" t="s">
        <v>15</v>
      </c>
      <c r="C46" s="137">
        <v>57.29</v>
      </c>
      <c r="D46" s="138" t="s">
        <v>940</v>
      </c>
      <c r="E46" s="107"/>
      <c r="G46" s="42"/>
      <c r="H46" s="42"/>
      <c r="I46" s="42"/>
      <c r="J46" s="42"/>
      <c r="K46" s="42"/>
      <c r="L46" s="42"/>
      <c r="M46" s="42"/>
    </row>
    <row r="47">
      <c r="A47" s="139">
        <v>45630.0</v>
      </c>
      <c r="B47" s="140"/>
      <c r="C47" s="141">
        <v>107.25</v>
      </c>
      <c r="D47" s="140" t="s">
        <v>941</v>
      </c>
      <c r="E47" s="132" t="s">
        <v>906</v>
      </c>
      <c r="G47" s="42"/>
      <c r="H47" s="42"/>
      <c r="I47" s="42"/>
      <c r="J47" s="42"/>
      <c r="K47" s="42"/>
      <c r="L47" s="42"/>
      <c r="M47" s="42"/>
    </row>
    <row r="48">
      <c r="A48" s="139">
        <v>45630.0</v>
      </c>
      <c r="B48" s="140" t="s">
        <v>15</v>
      </c>
      <c r="C48" s="141">
        <v>62.44</v>
      </c>
      <c r="D48" s="140" t="s">
        <v>942</v>
      </c>
      <c r="E48" s="107"/>
      <c r="G48" s="42"/>
      <c r="H48" s="42"/>
      <c r="I48" s="42"/>
      <c r="J48" s="42"/>
      <c r="K48" s="42"/>
      <c r="L48" s="42"/>
      <c r="M48" s="42"/>
    </row>
    <row r="49">
      <c r="A49" s="139">
        <v>45632.0</v>
      </c>
      <c r="B49" s="142" t="s">
        <v>17</v>
      </c>
      <c r="C49" s="141">
        <v>15.8</v>
      </c>
      <c r="D49" s="142" t="s">
        <v>943</v>
      </c>
      <c r="E49" s="107">
        <v>-25.44</v>
      </c>
      <c r="G49" s="42"/>
      <c r="H49" s="42"/>
      <c r="I49" s="42"/>
      <c r="J49" s="42"/>
      <c r="K49" s="42"/>
      <c r="L49" s="42"/>
      <c r="M49" s="42"/>
    </row>
    <row r="50">
      <c r="A50" s="44">
        <v>45633.0</v>
      </c>
      <c r="B50" s="113"/>
      <c r="C50" s="93">
        <v>138.73</v>
      </c>
      <c r="D50" s="41" t="s">
        <v>944</v>
      </c>
      <c r="E50" s="132" t="s">
        <v>906</v>
      </c>
      <c r="G50" s="42"/>
      <c r="H50" s="42"/>
      <c r="I50" s="42"/>
      <c r="J50" s="42"/>
      <c r="K50" s="42"/>
      <c r="L50" s="42"/>
      <c r="M50" s="42"/>
    </row>
    <row r="51">
      <c r="A51" s="44">
        <v>45648.0</v>
      </c>
      <c r="B51" s="113" t="s">
        <v>15</v>
      </c>
      <c r="C51" s="93">
        <v>15.05</v>
      </c>
      <c r="D51" s="41" t="s">
        <v>865</v>
      </c>
      <c r="E51" s="107">
        <v>-1.1</v>
      </c>
      <c r="G51" s="42"/>
      <c r="H51" s="42"/>
      <c r="I51" s="42"/>
      <c r="J51" s="42"/>
      <c r="K51" s="42"/>
      <c r="L51" s="42"/>
      <c r="M51" s="42"/>
    </row>
    <row r="52">
      <c r="A52" s="44">
        <v>45643.0</v>
      </c>
      <c r="B52" s="113" t="s">
        <v>17</v>
      </c>
      <c r="C52" s="93">
        <v>90.0</v>
      </c>
      <c r="D52" s="41" t="s">
        <v>945</v>
      </c>
      <c r="E52" s="107">
        <v>-30.0</v>
      </c>
      <c r="G52" s="42"/>
      <c r="H52" s="42"/>
      <c r="I52" s="42"/>
      <c r="J52" s="42"/>
      <c r="K52" s="42"/>
      <c r="L52" s="42"/>
      <c r="M52" s="42"/>
    </row>
    <row r="53">
      <c r="A53" s="44">
        <v>45578.0</v>
      </c>
      <c r="B53" s="106" t="s">
        <v>17</v>
      </c>
      <c r="C53" s="93">
        <f>IFERROR(__xludf.DUMMYFUNCTION("E53*-1"),10.69)</f>
        <v>10.69</v>
      </c>
      <c r="D53" s="41" t="s">
        <v>821</v>
      </c>
      <c r="E53" s="107">
        <v>-10.69</v>
      </c>
      <c r="G53" s="42"/>
      <c r="H53" s="42"/>
      <c r="I53" s="42"/>
      <c r="J53" s="42"/>
      <c r="K53" s="42"/>
      <c r="L53" s="42"/>
      <c r="M53" s="42"/>
    </row>
    <row r="54">
      <c r="A54" s="118">
        <v>45642.0</v>
      </c>
      <c r="B54" s="144" t="s">
        <v>19</v>
      </c>
      <c r="C54" s="120">
        <v>11.79</v>
      </c>
      <c r="D54" s="121" t="s">
        <v>946</v>
      </c>
      <c r="E54" s="107">
        <v>-81.99</v>
      </c>
      <c r="G54" s="99"/>
      <c r="H54" s="42"/>
      <c r="I54" s="42"/>
      <c r="J54" s="42"/>
      <c r="K54" s="42"/>
      <c r="L54" s="42"/>
      <c r="M54" s="42"/>
    </row>
    <row r="55">
      <c r="A55" s="44">
        <v>45578.0</v>
      </c>
      <c r="B55" s="106" t="s">
        <v>17</v>
      </c>
      <c r="C55" s="93">
        <v>60.0</v>
      </c>
      <c r="D55" s="41" t="s">
        <v>823</v>
      </c>
      <c r="E55" s="107">
        <v>-91.44</v>
      </c>
      <c r="G55" s="42"/>
      <c r="H55" s="42"/>
      <c r="I55" s="42"/>
      <c r="J55" s="42"/>
      <c r="K55" s="42"/>
      <c r="L55" s="42"/>
      <c r="M55" s="42"/>
    </row>
    <row r="56">
      <c r="A56" s="44">
        <v>45578.0</v>
      </c>
      <c r="B56" s="106" t="s">
        <v>15</v>
      </c>
      <c r="C56" s="93">
        <f>IFERROR(__xludf.DUMMYFUNCTION("E56*-1"),79.99)</f>
        <v>79.99</v>
      </c>
      <c r="D56" s="41" t="s">
        <v>814</v>
      </c>
      <c r="E56" s="107">
        <v>-79.99</v>
      </c>
      <c r="G56" s="42"/>
      <c r="H56" s="42"/>
      <c r="I56" s="42"/>
      <c r="J56" s="42"/>
      <c r="K56" s="42"/>
      <c r="L56" s="42"/>
      <c r="M56" s="42"/>
    </row>
    <row r="57">
      <c r="A57" s="118">
        <v>45654.0</v>
      </c>
      <c r="B57" s="144" t="s">
        <v>17</v>
      </c>
      <c r="C57" s="120">
        <v>100.14</v>
      </c>
      <c r="D57" s="121" t="s">
        <v>947</v>
      </c>
      <c r="E57" s="107">
        <v>-120.75</v>
      </c>
      <c r="G57" s="42"/>
      <c r="H57" s="42"/>
      <c r="I57" s="42"/>
      <c r="J57" s="42"/>
      <c r="K57" s="42"/>
      <c r="L57" s="42"/>
      <c r="M57" s="42"/>
    </row>
    <row r="58">
      <c r="A58" s="118">
        <v>45656.0</v>
      </c>
      <c r="B58" s="144" t="s">
        <v>17</v>
      </c>
      <c r="C58" s="120">
        <v>2.27</v>
      </c>
      <c r="D58" s="121" t="s">
        <v>948</v>
      </c>
      <c r="E58" s="107">
        <v>-1.75</v>
      </c>
      <c r="G58" s="42"/>
      <c r="H58" s="42"/>
      <c r="I58" s="42"/>
      <c r="J58" s="42"/>
      <c r="K58" s="42"/>
      <c r="L58" s="42"/>
      <c r="M58" s="42"/>
    </row>
    <row r="59">
      <c r="A59" s="118">
        <v>45656.0</v>
      </c>
      <c r="B59" s="144" t="s">
        <v>25</v>
      </c>
      <c r="C59" s="120">
        <v>141.53</v>
      </c>
      <c r="D59" s="121" t="s">
        <v>949</v>
      </c>
      <c r="E59" s="107">
        <v>-1.25</v>
      </c>
      <c r="G59" s="42"/>
      <c r="H59" s="42"/>
      <c r="I59" s="42"/>
      <c r="J59" s="42"/>
      <c r="K59" s="42"/>
      <c r="L59" s="42"/>
      <c r="M59" s="42"/>
    </row>
    <row r="60">
      <c r="A60" s="118">
        <v>45656.0</v>
      </c>
      <c r="B60" s="144" t="s">
        <v>571</v>
      </c>
      <c r="C60" s="120">
        <v>42.9</v>
      </c>
      <c r="D60" s="121" t="s">
        <v>950</v>
      </c>
      <c r="E60" s="107">
        <v>-1.25</v>
      </c>
      <c r="G60" s="42"/>
      <c r="H60" s="42"/>
      <c r="I60" s="42"/>
      <c r="J60" s="42"/>
      <c r="K60" s="42"/>
      <c r="L60" s="42"/>
      <c r="M60" s="42"/>
    </row>
    <row r="61">
      <c r="A61" s="44">
        <v>45576.0</v>
      </c>
      <c r="B61" s="106" t="s">
        <v>17</v>
      </c>
      <c r="C61" s="93">
        <f>IFERROR(__xludf.DUMMYFUNCTION("E61*-1"),9.6)</f>
        <v>9.6</v>
      </c>
      <c r="D61" s="41" t="s">
        <v>825</v>
      </c>
      <c r="E61" s="107">
        <v>-9.6</v>
      </c>
      <c r="G61" s="42"/>
      <c r="H61" s="42"/>
      <c r="I61" s="42"/>
      <c r="J61" s="42"/>
      <c r="K61" s="42"/>
      <c r="L61" s="42"/>
      <c r="M61" s="42"/>
    </row>
    <row r="62">
      <c r="A62" s="44">
        <v>46018.0</v>
      </c>
      <c r="B62" s="113" t="s">
        <v>19</v>
      </c>
      <c r="C62" s="93">
        <v>92.12</v>
      </c>
      <c r="D62" s="41" t="s">
        <v>951</v>
      </c>
      <c r="E62" s="107">
        <v>-1.25</v>
      </c>
      <c r="G62" s="42"/>
      <c r="H62" s="42"/>
      <c r="I62" s="42"/>
      <c r="J62" s="42"/>
      <c r="K62" s="42"/>
      <c r="L62" s="42"/>
      <c r="M62" s="42"/>
    </row>
    <row r="63">
      <c r="A63" s="118">
        <v>46018.0</v>
      </c>
      <c r="B63" s="144" t="s">
        <v>19</v>
      </c>
      <c r="C63" s="120">
        <v>80.75</v>
      </c>
      <c r="D63" s="121" t="s">
        <v>952</v>
      </c>
      <c r="E63" s="107">
        <v>-1.25</v>
      </c>
      <c r="G63" s="42"/>
      <c r="H63" s="42"/>
      <c r="I63" s="42"/>
      <c r="J63" s="42"/>
      <c r="K63" s="42"/>
      <c r="L63" s="42"/>
      <c r="M63" s="42"/>
    </row>
    <row r="64">
      <c r="A64" s="44">
        <v>45573.0</v>
      </c>
      <c r="B64" s="105" t="s">
        <v>22</v>
      </c>
      <c r="C64" s="93">
        <f>IFERROR(__xludf.DUMMYFUNCTION("E64*-1"),2.9)</f>
        <v>2.9</v>
      </c>
      <c r="D64" s="41" t="s">
        <v>826</v>
      </c>
      <c r="E64" s="107">
        <v>-2.9</v>
      </c>
      <c r="G64" s="42"/>
      <c r="H64" s="42"/>
      <c r="I64" s="42"/>
      <c r="J64" s="42"/>
      <c r="K64" s="42"/>
      <c r="L64" s="42"/>
      <c r="M64" s="42"/>
    </row>
    <row r="65">
      <c r="A65" s="118">
        <v>46017.0</v>
      </c>
      <c r="B65" s="144" t="s">
        <v>79</v>
      </c>
      <c r="C65" s="120">
        <v>13.05</v>
      </c>
      <c r="D65" s="121" t="s">
        <v>953</v>
      </c>
      <c r="E65" s="107">
        <v>-30.0</v>
      </c>
      <c r="G65" s="42"/>
      <c r="H65" s="42"/>
      <c r="I65" s="42"/>
      <c r="J65" s="42"/>
      <c r="K65" s="42"/>
      <c r="L65" s="42"/>
      <c r="M65" s="42"/>
    </row>
    <row r="66">
      <c r="A66" s="44">
        <v>45573.0</v>
      </c>
      <c r="B66" s="105" t="s">
        <v>22</v>
      </c>
      <c r="C66" s="93">
        <f>IFERROR(__xludf.DUMMYFUNCTION("E66*-1"),2.9)</f>
        <v>2.9</v>
      </c>
      <c r="D66" s="41" t="s">
        <v>826</v>
      </c>
      <c r="E66" s="107">
        <v>-2.9</v>
      </c>
      <c r="G66" s="42"/>
      <c r="H66" s="42"/>
      <c r="I66" s="42"/>
      <c r="J66" s="42"/>
      <c r="K66" s="42"/>
      <c r="L66" s="42"/>
      <c r="M66" s="42"/>
    </row>
    <row r="67">
      <c r="A67" s="44">
        <v>45573.0</v>
      </c>
      <c r="B67" s="105" t="s">
        <v>22</v>
      </c>
      <c r="C67" s="93">
        <f>IFERROR(__xludf.DUMMYFUNCTION("E67*-1"),2.75)</f>
        <v>2.75</v>
      </c>
      <c r="D67" s="41" t="s">
        <v>828</v>
      </c>
      <c r="E67" s="107">
        <v>-2.75</v>
      </c>
      <c r="G67" s="42"/>
      <c r="H67" s="42"/>
      <c r="I67" s="42"/>
      <c r="J67" s="42"/>
      <c r="K67" s="42"/>
      <c r="L67" s="42"/>
      <c r="M67" s="42"/>
    </row>
    <row r="68">
      <c r="A68" s="44">
        <v>45572.0</v>
      </c>
      <c r="B68" s="105" t="s">
        <v>22</v>
      </c>
      <c r="C68" s="93">
        <f>IFERROR(__xludf.DUMMYFUNCTION("E68*-1"),2.9)</f>
        <v>2.9</v>
      </c>
      <c r="D68" s="41" t="s">
        <v>826</v>
      </c>
      <c r="E68" s="107">
        <v>-2.9</v>
      </c>
      <c r="G68" s="42"/>
      <c r="H68" s="42"/>
      <c r="I68" s="42"/>
      <c r="J68" s="42"/>
      <c r="K68" s="42"/>
      <c r="L68" s="42"/>
      <c r="M68" s="42"/>
    </row>
    <row r="69">
      <c r="A69" s="44">
        <v>45572.0</v>
      </c>
      <c r="B69" s="105" t="s">
        <v>22</v>
      </c>
      <c r="C69" s="93">
        <f>IFERROR(__xludf.DUMMYFUNCTION("E69*-1"),2.75)</f>
        <v>2.75</v>
      </c>
      <c r="D69" s="41" t="s">
        <v>828</v>
      </c>
      <c r="E69" s="107">
        <v>-2.75</v>
      </c>
      <c r="G69" s="42"/>
      <c r="H69" s="42"/>
      <c r="I69" s="42"/>
      <c r="J69" s="42"/>
      <c r="K69" s="42"/>
      <c r="L69" s="42"/>
      <c r="M69" s="42"/>
    </row>
    <row r="70">
      <c r="A70" s="44">
        <v>45572.0</v>
      </c>
      <c r="B70" s="106" t="s">
        <v>17</v>
      </c>
      <c r="C70" s="93">
        <f>IFERROR(__xludf.DUMMYFUNCTION("E70*-1"),13.25)</f>
        <v>13.25</v>
      </c>
      <c r="D70" s="41" t="s">
        <v>829</v>
      </c>
      <c r="E70" s="107">
        <v>-13.25</v>
      </c>
      <c r="G70" s="42"/>
      <c r="H70" s="42"/>
      <c r="I70" s="42"/>
      <c r="J70" s="42"/>
      <c r="K70" s="42"/>
      <c r="L70" s="42"/>
      <c r="M70" s="42"/>
    </row>
    <row r="71">
      <c r="A71" s="118">
        <v>46017.0</v>
      </c>
      <c r="B71" s="144" t="s">
        <v>79</v>
      </c>
      <c r="C71" s="120">
        <v>12.0</v>
      </c>
      <c r="D71" s="121" t="s">
        <v>954</v>
      </c>
      <c r="E71" s="107">
        <v>-28.27</v>
      </c>
      <c r="G71" s="42"/>
      <c r="H71" s="42"/>
      <c r="I71" s="42"/>
      <c r="J71" s="42"/>
      <c r="K71" s="42"/>
      <c r="L71" s="42"/>
      <c r="M71" s="42"/>
    </row>
    <row r="72">
      <c r="A72" s="44">
        <v>45571.0</v>
      </c>
      <c r="B72" s="105" t="s">
        <v>79</v>
      </c>
      <c r="C72" s="93">
        <f>IFERROR(__xludf.DUMMYFUNCTION("E72*-1"),51.99)</f>
        <v>51.99</v>
      </c>
      <c r="D72" s="41" t="s">
        <v>831</v>
      </c>
      <c r="E72" s="107">
        <v>-51.99</v>
      </c>
      <c r="G72" s="42"/>
      <c r="H72" s="42"/>
      <c r="I72" s="42"/>
      <c r="J72" s="42"/>
      <c r="K72" s="42"/>
      <c r="L72" s="42"/>
      <c r="M72" s="42"/>
    </row>
    <row r="73">
      <c r="A73" s="44">
        <v>45571.0</v>
      </c>
      <c r="B73" s="106" t="s">
        <v>17</v>
      </c>
      <c r="C73" s="93">
        <v>15.5</v>
      </c>
      <c r="D73" s="41" t="s">
        <v>832</v>
      </c>
      <c r="E73" s="107">
        <v>-31.03</v>
      </c>
      <c r="G73" s="42"/>
      <c r="H73" s="42"/>
      <c r="I73" s="42"/>
      <c r="J73" s="42"/>
      <c r="K73" s="42"/>
      <c r="L73" s="42"/>
      <c r="M73" s="42"/>
    </row>
    <row r="74">
      <c r="A74" s="44">
        <v>45571.0</v>
      </c>
      <c r="B74" s="106" t="s">
        <v>17</v>
      </c>
      <c r="C74" s="93">
        <f>IFERROR(__xludf.DUMMYFUNCTION("E74*-1"),53.58)</f>
        <v>53.58</v>
      </c>
      <c r="D74" s="41" t="s">
        <v>833</v>
      </c>
      <c r="E74" s="107">
        <v>-53.58</v>
      </c>
      <c r="G74" s="42"/>
      <c r="H74" s="42"/>
      <c r="I74" s="42"/>
      <c r="J74" s="42"/>
      <c r="K74" s="42"/>
      <c r="L74" s="42"/>
      <c r="M74" s="42"/>
    </row>
    <row r="75">
      <c r="A75" s="44">
        <v>45571.0</v>
      </c>
      <c r="B75" s="105" t="s">
        <v>22</v>
      </c>
      <c r="C75" s="93">
        <f>IFERROR(__xludf.DUMMYFUNCTION("E75*-1"),1.5)</f>
        <v>1.5</v>
      </c>
      <c r="D75" s="41" t="s">
        <v>834</v>
      </c>
      <c r="E75" s="107">
        <v>-1.5</v>
      </c>
      <c r="G75" s="42"/>
      <c r="H75" s="42"/>
      <c r="I75" s="42"/>
      <c r="J75" s="42"/>
      <c r="K75" s="42"/>
      <c r="L75" s="42"/>
      <c r="M75" s="42"/>
    </row>
    <row r="76">
      <c r="A76" s="44">
        <v>45571.0</v>
      </c>
      <c r="B76" s="106" t="s">
        <v>17</v>
      </c>
      <c r="C76" s="93">
        <f>IFERROR(__xludf.DUMMYFUNCTION("E76*-1"),12.84)</f>
        <v>12.84</v>
      </c>
      <c r="D76" s="41" t="s">
        <v>835</v>
      </c>
      <c r="E76" s="107">
        <v>-12.84</v>
      </c>
      <c r="G76" s="42"/>
      <c r="H76" s="42"/>
      <c r="I76" s="42"/>
      <c r="J76" s="42"/>
      <c r="K76" s="42"/>
      <c r="L76" s="42"/>
      <c r="M76" s="42"/>
    </row>
    <row r="77">
      <c r="A77" s="44">
        <v>45569.0</v>
      </c>
      <c r="B77" s="105" t="s">
        <v>22</v>
      </c>
      <c r="C77" s="93">
        <f>IFERROR(__xludf.DUMMYFUNCTION("E77*-1"),2.4)</f>
        <v>2.4</v>
      </c>
      <c r="D77" s="41" t="s">
        <v>813</v>
      </c>
      <c r="E77" s="107">
        <v>-2.4</v>
      </c>
      <c r="G77" s="42"/>
      <c r="H77" s="42"/>
      <c r="I77" s="42"/>
      <c r="J77" s="42"/>
      <c r="K77" s="42"/>
      <c r="L77" s="42"/>
      <c r="M77" s="42"/>
    </row>
    <row r="78">
      <c r="A78" s="118">
        <v>46012.0</v>
      </c>
      <c r="B78" s="144" t="s">
        <v>17</v>
      </c>
      <c r="C78" s="120">
        <v>28.74</v>
      </c>
      <c r="D78" s="121" t="s">
        <v>955</v>
      </c>
      <c r="E78" s="107">
        <v>-1.25</v>
      </c>
      <c r="G78" s="42"/>
      <c r="H78" s="42"/>
      <c r="I78" s="42"/>
      <c r="J78" s="42"/>
      <c r="K78" s="42"/>
      <c r="L78" s="42"/>
      <c r="M78" s="42"/>
    </row>
    <row r="79">
      <c r="A79" s="44">
        <v>45568.0</v>
      </c>
      <c r="B79" s="105" t="s">
        <v>24</v>
      </c>
      <c r="C79" s="93">
        <f>IFERROR(__xludf.DUMMYFUNCTION("E79*-1"),25.95)</f>
        <v>25.95</v>
      </c>
      <c r="D79" s="41" t="s">
        <v>836</v>
      </c>
      <c r="E79" s="107">
        <v>-25.95</v>
      </c>
      <c r="G79" s="42"/>
      <c r="H79" s="42"/>
      <c r="I79" s="42"/>
      <c r="J79" s="42"/>
      <c r="K79" s="42"/>
      <c r="L79" s="42"/>
      <c r="M79" s="42"/>
    </row>
    <row r="80">
      <c r="A80" s="118">
        <v>46010.0</v>
      </c>
      <c r="B80" s="144" t="s">
        <v>17</v>
      </c>
      <c r="C80" s="120">
        <v>5.36</v>
      </c>
      <c r="D80" s="121" t="s">
        <v>546</v>
      </c>
      <c r="E80" s="107">
        <v>-1.25</v>
      </c>
      <c r="G80" s="42"/>
      <c r="H80" s="42"/>
      <c r="I80" s="42"/>
      <c r="J80" s="42"/>
      <c r="K80" s="42"/>
      <c r="L80" s="42"/>
      <c r="M80" s="42"/>
    </row>
    <row r="81">
      <c r="A81" s="44">
        <v>45568.0</v>
      </c>
      <c r="B81" s="105" t="s">
        <v>24</v>
      </c>
      <c r="C81" s="93">
        <f>IFERROR(__xludf.DUMMYFUNCTION("E81*-1"),3.95)</f>
        <v>3.95</v>
      </c>
      <c r="D81" s="41" t="s">
        <v>836</v>
      </c>
      <c r="E81" s="107">
        <v>-3.95</v>
      </c>
      <c r="G81" s="42"/>
      <c r="H81" s="42"/>
      <c r="I81" s="42"/>
      <c r="J81" s="42"/>
      <c r="K81" s="42"/>
      <c r="L81" s="42"/>
      <c r="M81" s="42"/>
    </row>
    <row r="82">
      <c r="A82" s="118">
        <v>46010.0</v>
      </c>
      <c r="B82" s="144" t="s">
        <v>19</v>
      </c>
      <c r="C82" s="120">
        <f>1.25*8</f>
        <v>10</v>
      </c>
      <c r="D82" s="121" t="s">
        <v>956</v>
      </c>
      <c r="E82" s="107">
        <v>-1.25</v>
      </c>
      <c r="G82" s="42"/>
      <c r="H82" s="42"/>
      <c r="I82" s="42"/>
      <c r="J82" s="42"/>
      <c r="K82" s="42"/>
      <c r="L82" s="42"/>
      <c r="M82" s="42"/>
    </row>
    <row r="83">
      <c r="A83" s="44">
        <v>45568.0</v>
      </c>
      <c r="B83" s="106" t="s">
        <v>17</v>
      </c>
      <c r="C83" s="93">
        <f>IFERROR(__xludf.DUMMYFUNCTION("E83*-1"),55.88)</f>
        <v>55.88</v>
      </c>
      <c r="D83" s="41" t="s">
        <v>837</v>
      </c>
      <c r="E83" s="107">
        <v>-55.88</v>
      </c>
      <c r="G83" s="42"/>
      <c r="H83" s="42"/>
      <c r="I83" s="42"/>
      <c r="J83" s="42"/>
      <c r="K83" s="42"/>
      <c r="L83" s="42"/>
      <c r="M83" s="42"/>
    </row>
    <row r="84">
      <c r="A84" s="44">
        <v>45567.0</v>
      </c>
      <c r="B84" s="106" t="s">
        <v>17</v>
      </c>
      <c r="C84" s="93">
        <f>IFERROR(__xludf.DUMMYFUNCTION("E84*-1"),25.02)</f>
        <v>25.02</v>
      </c>
      <c r="D84" s="41" t="s">
        <v>817</v>
      </c>
      <c r="E84" s="107">
        <v>-25.02</v>
      </c>
      <c r="G84" s="42"/>
      <c r="H84" s="42"/>
      <c r="I84" s="42"/>
      <c r="J84" s="42"/>
      <c r="K84" s="42"/>
      <c r="L84" s="42"/>
      <c r="M84" s="42"/>
    </row>
    <row r="85">
      <c r="A85" s="44">
        <v>45567.0</v>
      </c>
      <c r="B85" s="105" t="s">
        <v>14</v>
      </c>
      <c r="C85" s="93">
        <f>IFERROR(__xludf.DUMMYFUNCTION("E85*-1"),81.2)</f>
        <v>81.2</v>
      </c>
      <c r="D85" s="41" t="s">
        <v>838</v>
      </c>
      <c r="E85" s="107">
        <v>-81.2</v>
      </c>
      <c r="G85" s="42"/>
      <c r="H85" s="42"/>
      <c r="I85" s="42"/>
      <c r="J85" s="42"/>
      <c r="K85" s="42"/>
      <c r="L85" s="42"/>
      <c r="M85" s="42"/>
    </row>
    <row r="86">
      <c r="A86" s="118">
        <v>46010.0</v>
      </c>
      <c r="B86" s="144" t="s">
        <v>17</v>
      </c>
      <c r="C86" s="112">
        <v>21.38</v>
      </c>
      <c r="D86" s="111" t="s">
        <v>957</v>
      </c>
      <c r="E86" s="107"/>
      <c r="G86" s="42"/>
      <c r="H86" s="42"/>
      <c r="I86" s="42"/>
      <c r="J86" s="42"/>
      <c r="K86" s="42"/>
      <c r="L86" s="42"/>
      <c r="M86" s="42"/>
    </row>
    <row r="87">
      <c r="A87" s="145">
        <v>46008.0</v>
      </c>
      <c r="B87" s="144" t="s">
        <v>17</v>
      </c>
      <c r="C87" s="146">
        <v>27.61</v>
      </c>
      <c r="D87" s="147" t="s">
        <v>958</v>
      </c>
      <c r="E87" s="107"/>
      <c r="G87" s="42"/>
      <c r="H87" s="42"/>
      <c r="I87" s="42"/>
      <c r="J87" s="42"/>
      <c r="K87" s="42"/>
      <c r="L87" s="42"/>
      <c r="M87" s="42"/>
    </row>
    <row r="88">
      <c r="A88" s="44">
        <v>45587.0</v>
      </c>
      <c r="B88" s="105" t="s">
        <v>571</v>
      </c>
      <c r="C88" s="93">
        <v>25.82</v>
      </c>
      <c r="D88" s="108" t="s">
        <v>841</v>
      </c>
      <c r="E88" s="107"/>
      <c r="G88" s="42"/>
      <c r="H88" s="42"/>
      <c r="I88" s="42"/>
      <c r="J88" s="42"/>
      <c r="K88" s="42"/>
      <c r="L88" s="42"/>
      <c r="M88" s="42"/>
    </row>
    <row r="89">
      <c r="A89" s="118">
        <v>46006.0</v>
      </c>
      <c r="B89" s="111" t="s">
        <v>15</v>
      </c>
      <c r="C89" s="112">
        <v>115.07</v>
      </c>
      <c r="D89" s="111" t="s">
        <v>959</v>
      </c>
      <c r="E89" s="107"/>
      <c r="G89" s="42"/>
      <c r="H89" s="42"/>
      <c r="I89" s="42"/>
      <c r="J89" s="42"/>
      <c r="K89" s="42"/>
      <c r="L89" s="42"/>
      <c r="M89" s="42"/>
    </row>
    <row r="90">
      <c r="A90" s="44">
        <v>45585.0</v>
      </c>
      <c r="B90" s="105" t="s">
        <v>24</v>
      </c>
      <c r="C90" s="93">
        <v>4.65</v>
      </c>
      <c r="D90" s="108" t="s">
        <v>843</v>
      </c>
      <c r="E90" s="107"/>
      <c r="G90" s="42"/>
      <c r="H90" s="42"/>
      <c r="I90" s="42"/>
      <c r="J90" s="42"/>
      <c r="K90" s="42"/>
      <c r="L90" s="42"/>
      <c r="M90" s="42"/>
    </row>
    <row r="91">
      <c r="A91" s="118">
        <v>46005.0</v>
      </c>
      <c r="B91" s="111" t="s">
        <v>19</v>
      </c>
      <c r="C91" s="112">
        <v>114.0</v>
      </c>
      <c r="D91" s="111" t="s">
        <v>960</v>
      </c>
      <c r="E91" s="107"/>
      <c r="G91" s="42"/>
      <c r="H91" s="42"/>
      <c r="I91" s="42"/>
      <c r="J91" s="42"/>
      <c r="K91" s="42"/>
      <c r="L91" s="42"/>
      <c r="M91" s="42"/>
    </row>
    <row r="92">
      <c r="A92" s="44">
        <v>45582.0</v>
      </c>
      <c r="B92" s="105" t="s">
        <v>79</v>
      </c>
      <c r="C92" s="93">
        <v>54.28</v>
      </c>
      <c r="D92" s="108" t="s">
        <v>845</v>
      </c>
      <c r="E92" s="107"/>
      <c r="G92" s="42"/>
      <c r="H92" s="42"/>
      <c r="I92" s="42"/>
      <c r="J92" s="42"/>
      <c r="K92" s="42"/>
      <c r="L92" s="42"/>
      <c r="M92" s="42"/>
    </row>
    <row r="93">
      <c r="A93" s="110">
        <v>46005.0</v>
      </c>
      <c r="B93" s="111" t="s">
        <v>25</v>
      </c>
      <c r="C93" s="112">
        <v>51.68</v>
      </c>
      <c r="D93" s="111" t="s">
        <v>961</v>
      </c>
      <c r="E93" s="107"/>
      <c r="G93" s="42"/>
      <c r="H93" s="42"/>
      <c r="I93" s="42"/>
      <c r="J93" s="42"/>
      <c r="K93" s="42"/>
      <c r="L93" s="42"/>
      <c r="M93" s="42"/>
    </row>
    <row r="94">
      <c r="A94" s="44">
        <v>45581.0</v>
      </c>
      <c r="B94" s="105" t="s">
        <v>79</v>
      </c>
      <c r="C94" s="93">
        <v>39.66</v>
      </c>
      <c r="D94" s="108" t="s">
        <v>847</v>
      </c>
      <c r="E94" s="107"/>
      <c r="G94" s="42"/>
      <c r="H94" s="42"/>
      <c r="I94" s="42"/>
      <c r="J94" s="42"/>
      <c r="K94" s="42"/>
      <c r="L94" s="42"/>
      <c r="M94" s="42"/>
    </row>
    <row r="95">
      <c r="A95" s="44">
        <v>45578.0</v>
      </c>
      <c r="B95" s="106" t="s">
        <v>15</v>
      </c>
      <c r="C95" s="93">
        <v>44.44</v>
      </c>
      <c r="D95" s="108" t="s">
        <v>848</v>
      </c>
      <c r="E95" s="107"/>
      <c r="G95" s="42"/>
      <c r="H95" s="42"/>
      <c r="I95" s="42"/>
      <c r="J95" s="42"/>
      <c r="K95" s="42"/>
      <c r="L95" s="42"/>
      <c r="M95" s="42"/>
    </row>
    <row r="96">
      <c r="A96" s="110">
        <v>46005.0</v>
      </c>
      <c r="B96" s="111" t="s">
        <v>17</v>
      </c>
      <c r="C96" s="112">
        <v>6.1</v>
      </c>
      <c r="D96" s="111" t="s">
        <v>962</v>
      </c>
      <c r="E96" s="107"/>
      <c r="G96" s="42"/>
      <c r="H96" s="42"/>
      <c r="I96" s="42"/>
      <c r="J96" s="42"/>
      <c r="K96" s="42"/>
      <c r="L96" s="42"/>
      <c r="M96" s="42"/>
    </row>
    <row r="97">
      <c r="A97" s="44">
        <v>45572.0</v>
      </c>
      <c r="B97" s="106" t="s">
        <v>15</v>
      </c>
      <c r="C97" s="93">
        <v>22.0</v>
      </c>
      <c r="D97" s="108" t="s">
        <v>850</v>
      </c>
      <c r="E97" s="107"/>
      <c r="G97" s="42"/>
      <c r="H97" s="42"/>
      <c r="I97" s="42"/>
      <c r="J97" s="42"/>
      <c r="K97" s="42"/>
      <c r="L97" s="42"/>
      <c r="M97" s="42"/>
    </row>
    <row r="98">
      <c r="A98" s="44">
        <v>45571.0</v>
      </c>
      <c r="B98" s="106" t="s">
        <v>15</v>
      </c>
      <c r="C98" s="93">
        <v>41.96</v>
      </c>
      <c r="D98" s="108" t="s">
        <v>851</v>
      </c>
      <c r="E98" s="107"/>
      <c r="G98" s="42"/>
      <c r="H98" s="42"/>
      <c r="I98" s="42"/>
      <c r="J98" s="42"/>
      <c r="K98" s="42"/>
      <c r="L98" s="42"/>
      <c r="M98" s="42"/>
    </row>
    <row r="99">
      <c r="A99" s="118">
        <v>46005.0</v>
      </c>
      <c r="B99" s="144" t="s">
        <v>17</v>
      </c>
      <c r="C99" s="120">
        <v>26.06</v>
      </c>
      <c r="D99" s="121" t="s">
        <v>963</v>
      </c>
      <c r="E99" s="107"/>
      <c r="G99" s="42"/>
      <c r="H99" s="42"/>
      <c r="I99" s="42"/>
      <c r="J99" s="42"/>
      <c r="K99" s="42"/>
      <c r="L99" s="42"/>
      <c r="M99" s="42"/>
    </row>
    <row r="100">
      <c r="A100" s="44">
        <v>45577.0</v>
      </c>
      <c r="B100" s="40" t="s">
        <v>571</v>
      </c>
      <c r="C100" s="41">
        <v>165.0</v>
      </c>
      <c r="D100" s="41" t="s">
        <v>853</v>
      </c>
      <c r="E100" s="107"/>
      <c r="G100" s="42"/>
      <c r="H100" s="42"/>
      <c r="I100" s="42"/>
      <c r="J100" s="42"/>
      <c r="K100" s="42"/>
      <c r="L100" s="42"/>
      <c r="M100" s="42"/>
    </row>
    <row r="101">
      <c r="A101" s="110">
        <v>46003.0</v>
      </c>
      <c r="B101" s="111" t="s">
        <v>17</v>
      </c>
      <c r="C101" s="112">
        <v>93.75</v>
      </c>
      <c r="D101" s="111" t="s">
        <v>964</v>
      </c>
      <c r="E101" s="107"/>
      <c r="G101" s="42"/>
      <c r="H101" s="42"/>
      <c r="I101" s="42"/>
      <c r="J101" s="42"/>
      <c r="K101" s="42"/>
      <c r="L101" s="42"/>
      <c r="M101" s="42"/>
    </row>
    <row r="102">
      <c r="A102" s="44">
        <v>45577.0</v>
      </c>
      <c r="B102" s="40" t="s">
        <v>14</v>
      </c>
      <c r="C102" s="41">
        <v>135.0</v>
      </c>
      <c r="D102" s="41" t="s">
        <v>855</v>
      </c>
      <c r="E102" s="107"/>
      <c r="G102" s="42"/>
      <c r="H102" s="42"/>
      <c r="I102" s="42"/>
      <c r="J102" s="42"/>
      <c r="K102" s="42"/>
      <c r="L102" s="42"/>
      <c r="M102" s="42"/>
    </row>
    <row r="103">
      <c r="A103" s="110">
        <v>46001.0</v>
      </c>
      <c r="B103" s="111" t="s">
        <v>17</v>
      </c>
      <c r="C103" s="112">
        <v>17.12</v>
      </c>
      <c r="D103" s="111" t="s">
        <v>965</v>
      </c>
      <c r="E103" s="107"/>
      <c r="G103" s="42"/>
      <c r="H103" s="42"/>
      <c r="I103" s="42"/>
      <c r="J103" s="42"/>
      <c r="K103" s="42"/>
      <c r="L103" s="42"/>
      <c r="M103" s="42"/>
    </row>
    <row r="104">
      <c r="A104" s="44">
        <v>45588.0</v>
      </c>
      <c r="B104" s="40" t="s">
        <v>17</v>
      </c>
      <c r="C104" s="41">
        <v>16.0</v>
      </c>
      <c r="D104" s="41" t="s">
        <v>857</v>
      </c>
      <c r="E104" s="107"/>
      <c r="G104" s="42"/>
      <c r="H104" s="42"/>
      <c r="I104" s="42"/>
      <c r="J104" s="42"/>
      <c r="K104" s="42"/>
      <c r="L104" s="42"/>
      <c r="M104" s="42"/>
    </row>
    <row r="105">
      <c r="A105" s="44">
        <v>45583.0</v>
      </c>
      <c r="B105" s="40" t="s">
        <v>17</v>
      </c>
      <c r="C105" s="41">
        <v>4.0</v>
      </c>
      <c r="D105" s="41" t="s">
        <v>674</v>
      </c>
      <c r="E105" s="107"/>
      <c r="G105" s="42"/>
      <c r="H105" s="42"/>
      <c r="I105" s="42"/>
      <c r="J105" s="42"/>
      <c r="K105" s="42"/>
      <c r="L105" s="42"/>
      <c r="M105" s="42"/>
    </row>
    <row r="106">
      <c r="A106" s="44">
        <v>45581.0</v>
      </c>
      <c r="B106" s="40" t="s">
        <v>17</v>
      </c>
      <c r="C106" s="41">
        <v>23.73</v>
      </c>
      <c r="D106" s="41" t="s">
        <v>858</v>
      </c>
      <c r="E106" s="107"/>
      <c r="G106" s="42"/>
      <c r="H106" s="42"/>
      <c r="I106" s="42"/>
      <c r="J106" s="42"/>
      <c r="K106" s="42"/>
      <c r="L106" s="42"/>
      <c r="M106" s="42"/>
    </row>
    <row r="107">
      <c r="A107" s="110">
        <v>46001.0</v>
      </c>
      <c r="B107" s="111" t="s">
        <v>571</v>
      </c>
      <c r="C107" s="112">
        <v>575.0</v>
      </c>
      <c r="D107" s="111" t="s">
        <v>966</v>
      </c>
      <c r="E107" s="107"/>
      <c r="G107" s="42"/>
      <c r="H107" s="42"/>
      <c r="I107" s="42"/>
      <c r="J107" s="42"/>
      <c r="K107" s="42"/>
      <c r="L107" s="42"/>
      <c r="M107" s="42"/>
    </row>
    <row r="108">
      <c r="A108" s="44">
        <v>45574.0</v>
      </c>
      <c r="B108" s="40" t="s">
        <v>17</v>
      </c>
      <c r="C108" s="41">
        <v>24.0</v>
      </c>
      <c r="D108" s="41" t="s">
        <v>674</v>
      </c>
      <c r="E108" s="107"/>
      <c r="G108" s="42"/>
      <c r="H108" s="42"/>
      <c r="I108" s="42"/>
      <c r="J108" s="42"/>
      <c r="K108" s="42"/>
      <c r="L108" s="42"/>
      <c r="M108" s="42"/>
    </row>
    <row r="109">
      <c r="A109" s="44">
        <v>45574.0</v>
      </c>
      <c r="B109" s="40" t="s">
        <v>17</v>
      </c>
      <c r="C109" s="41">
        <v>27.8</v>
      </c>
      <c r="D109" s="41" t="s">
        <v>860</v>
      </c>
      <c r="E109" s="107"/>
      <c r="G109" s="42"/>
      <c r="H109" s="42"/>
      <c r="I109" s="42"/>
      <c r="J109" s="42"/>
      <c r="K109" s="42"/>
      <c r="L109" s="42"/>
      <c r="M109" s="42"/>
    </row>
    <row r="110">
      <c r="A110" s="110">
        <v>46000.0</v>
      </c>
      <c r="B110" s="111" t="s">
        <v>15</v>
      </c>
      <c r="C110" s="112">
        <v>7.19</v>
      </c>
      <c r="D110" s="111" t="s">
        <v>879</v>
      </c>
      <c r="E110" s="107"/>
      <c r="G110" s="42"/>
      <c r="H110" s="42"/>
      <c r="I110" s="42"/>
      <c r="J110" s="42"/>
      <c r="K110" s="42"/>
      <c r="L110" s="42"/>
      <c r="M110" s="42"/>
    </row>
    <row r="111">
      <c r="A111" s="110">
        <v>46000.0</v>
      </c>
      <c r="B111" s="111" t="s">
        <v>17</v>
      </c>
      <c r="C111" s="112">
        <v>4.97</v>
      </c>
      <c r="D111" s="111" t="s">
        <v>967</v>
      </c>
      <c r="E111" s="107"/>
      <c r="G111" s="42"/>
      <c r="H111" s="42"/>
      <c r="I111" s="42"/>
      <c r="J111" s="42"/>
      <c r="K111" s="42"/>
      <c r="L111" s="42"/>
      <c r="M111" s="42"/>
    </row>
    <row r="112">
      <c r="A112" s="44">
        <v>45586.0</v>
      </c>
      <c r="B112" s="106" t="s">
        <v>17</v>
      </c>
      <c r="C112" s="93">
        <v>14.71</v>
      </c>
      <c r="D112" s="41" t="s">
        <v>863</v>
      </c>
      <c r="E112" s="107"/>
      <c r="G112" s="42"/>
      <c r="H112" s="42"/>
      <c r="I112" s="42"/>
      <c r="J112" s="42"/>
      <c r="K112" s="42"/>
      <c r="L112" s="42"/>
      <c r="M112" s="42"/>
    </row>
    <row r="113">
      <c r="A113" s="44">
        <v>45586.0</v>
      </c>
      <c r="B113" s="106" t="s">
        <v>17</v>
      </c>
      <c r="C113" s="93">
        <v>63.0</v>
      </c>
      <c r="D113" s="41" t="s">
        <v>864</v>
      </c>
      <c r="E113" s="107"/>
      <c r="G113" s="42"/>
      <c r="H113" s="42"/>
      <c r="I113" s="42"/>
      <c r="J113" s="42"/>
      <c r="K113" s="42"/>
      <c r="L113" s="42"/>
      <c r="M113" s="42"/>
    </row>
    <row r="114">
      <c r="A114" s="44">
        <v>45584.0</v>
      </c>
      <c r="B114" s="106" t="s">
        <v>17</v>
      </c>
      <c r="C114" s="93">
        <v>45.67</v>
      </c>
      <c r="D114" s="41" t="s">
        <v>718</v>
      </c>
      <c r="E114" s="107"/>
      <c r="G114" s="42"/>
      <c r="H114" s="42"/>
      <c r="I114" s="42"/>
      <c r="J114" s="42"/>
      <c r="K114" s="42"/>
      <c r="L114" s="42"/>
      <c r="M114" s="42"/>
    </row>
    <row r="115">
      <c r="A115" s="44">
        <v>45584.0</v>
      </c>
      <c r="B115" s="106" t="s">
        <v>15</v>
      </c>
      <c r="C115" s="93">
        <v>160.0</v>
      </c>
      <c r="D115" s="41" t="s">
        <v>865</v>
      </c>
      <c r="E115" s="107"/>
      <c r="G115" s="42"/>
      <c r="H115" s="42"/>
      <c r="I115" s="42"/>
      <c r="J115" s="42"/>
      <c r="K115" s="42"/>
      <c r="L115" s="42"/>
      <c r="M115" s="42"/>
    </row>
    <row r="116">
      <c r="A116" s="110">
        <v>45999.0</v>
      </c>
      <c r="B116" s="111" t="s">
        <v>25</v>
      </c>
      <c r="C116" s="112">
        <v>28.5</v>
      </c>
      <c r="D116" s="111" t="s">
        <v>968</v>
      </c>
      <c r="E116" s="107"/>
      <c r="G116" s="42"/>
      <c r="H116" s="42"/>
      <c r="I116" s="42"/>
      <c r="J116" s="42"/>
      <c r="K116" s="42"/>
      <c r="L116" s="42"/>
      <c r="M116" s="42"/>
    </row>
    <row r="117">
      <c r="A117" s="110">
        <v>45998.0</v>
      </c>
      <c r="B117" s="111" t="s">
        <v>25</v>
      </c>
      <c r="C117" s="112">
        <v>80.5</v>
      </c>
      <c r="D117" s="111" t="s">
        <v>969</v>
      </c>
      <c r="E117" s="107"/>
      <c r="G117" s="42"/>
      <c r="H117" s="42"/>
      <c r="I117" s="42"/>
      <c r="J117" s="42"/>
      <c r="K117" s="42"/>
      <c r="L117" s="42"/>
      <c r="M117" s="42"/>
    </row>
    <row r="118">
      <c r="A118" s="110">
        <v>45998.0</v>
      </c>
      <c r="B118" s="111" t="s">
        <v>19</v>
      </c>
      <c r="C118" s="112">
        <v>14.32</v>
      </c>
      <c r="D118" s="111" t="s">
        <v>970</v>
      </c>
      <c r="E118" s="107"/>
      <c r="G118" s="42"/>
      <c r="H118" s="42"/>
      <c r="I118" s="42"/>
      <c r="J118" s="42"/>
      <c r="K118" s="42"/>
      <c r="L118" s="42"/>
      <c r="M118" s="42"/>
    </row>
    <row r="119">
      <c r="A119" s="148">
        <v>45998.0</v>
      </c>
      <c r="B119" s="144" t="s">
        <v>25</v>
      </c>
      <c r="C119" s="146">
        <v>81.9</v>
      </c>
      <c r="D119" s="147" t="s">
        <v>971</v>
      </c>
      <c r="E119" s="107"/>
      <c r="G119" s="42"/>
      <c r="H119" s="42"/>
      <c r="I119" s="42"/>
      <c r="J119" s="42"/>
      <c r="K119" s="42"/>
      <c r="L119" s="42"/>
      <c r="M119" s="42"/>
    </row>
    <row r="120">
      <c r="A120" s="148">
        <v>45998.0</v>
      </c>
      <c r="B120" s="144" t="s">
        <v>17</v>
      </c>
      <c r="C120" s="146">
        <v>25.2</v>
      </c>
      <c r="D120" s="147" t="s">
        <v>972</v>
      </c>
      <c r="E120" s="107"/>
      <c r="G120" s="42"/>
      <c r="H120" s="42"/>
      <c r="I120" s="42"/>
      <c r="J120" s="42"/>
      <c r="K120" s="42"/>
      <c r="L120" s="42"/>
      <c r="M120" s="42"/>
    </row>
    <row r="121">
      <c r="A121" s="110">
        <v>45997.0</v>
      </c>
      <c r="B121" s="111" t="s">
        <v>17</v>
      </c>
      <c r="C121" s="112">
        <v>15.8</v>
      </c>
      <c r="D121" s="111" t="s">
        <v>973</v>
      </c>
      <c r="E121" s="107"/>
      <c r="G121" s="42"/>
      <c r="H121" s="42"/>
      <c r="I121" s="42"/>
      <c r="J121" s="42"/>
      <c r="K121" s="42"/>
      <c r="L121" s="42"/>
      <c r="M121" s="42"/>
    </row>
    <row r="122">
      <c r="A122" s="110"/>
      <c r="B122" s="111"/>
      <c r="C122" s="112"/>
      <c r="D122" s="111"/>
      <c r="E122" s="107"/>
      <c r="G122" s="42"/>
      <c r="H122" s="42"/>
      <c r="I122" s="42"/>
      <c r="J122" s="42"/>
      <c r="K122" s="42"/>
      <c r="L122" s="42"/>
      <c r="M122" s="42"/>
    </row>
    <row r="123">
      <c r="A123" s="118"/>
      <c r="B123" s="144"/>
      <c r="C123" s="120"/>
      <c r="D123" s="121"/>
      <c r="E123" s="107"/>
      <c r="G123" s="42"/>
      <c r="H123" s="42"/>
      <c r="I123" s="42"/>
      <c r="J123" s="42"/>
      <c r="K123" s="42"/>
      <c r="L123" s="42"/>
      <c r="M123" s="42"/>
    </row>
    <row r="124">
      <c r="A124" s="110"/>
      <c r="B124" s="111"/>
      <c r="C124" s="112"/>
      <c r="D124" s="111"/>
      <c r="E124" s="107"/>
      <c r="G124" s="42"/>
      <c r="H124" s="42"/>
      <c r="I124" s="42"/>
      <c r="J124" s="42"/>
      <c r="K124" s="42"/>
      <c r="L124" s="42"/>
      <c r="M124" s="42"/>
    </row>
    <row r="125">
      <c r="A125" s="149"/>
      <c r="B125" s="144"/>
      <c r="C125" s="150"/>
      <c r="D125" s="151"/>
      <c r="E125" s="107"/>
      <c r="G125" s="42"/>
      <c r="H125" s="42"/>
      <c r="I125" s="42"/>
      <c r="J125" s="42"/>
      <c r="K125" s="42"/>
      <c r="L125" s="42"/>
      <c r="M125" s="42"/>
    </row>
    <row r="126">
      <c r="A126" s="149"/>
      <c r="B126" s="144"/>
      <c r="C126" s="150"/>
      <c r="D126" s="151"/>
      <c r="E126" s="107"/>
      <c r="G126" s="42"/>
      <c r="H126" s="42"/>
      <c r="I126" s="42"/>
      <c r="J126" s="42"/>
      <c r="K126" s="42"/>
      <c r="L126" s="42"/>
      <c r="M126" s="42"/>
    </row>
    <row r="127">
      <c r="A127" s="110"/>
      <c r="B127" s="111"/>
      <c r="C127" s="112"/>
      <c r="D127" s="111"/>
      <c r="E127" s="107"/>
      <c r="G127" s="42"/>
      <c r="H127" s="42"/>
      <c r="I127" s="42"/>
      <c r="J127" s="42"/>
      <c r="K127" s="42"/>
      <c r="L127" s="42"/>
      <c r="M127" s="42"/>
    </row>
    <row r="128">
      <c r="A128" s="110"/>
      <c r="B128" s="111"/>
      <c r="C128" s="112"/>
      <c r="D128" s="111"/>
      <c r="E128" s="107"/>
      <c r="G128" s="42"/>
      <c r="H128" s="42"/>
      <c r="I128" s="42"/>
      <c r="J128" s="42"/>
      <c r="K128" s="42"/>
      <c r="L128" s="42"/>
      <c r="M128" s="42"/>
    </row>
    <row r="129">
      <c r="A129" s="110"/>
      <c r="B129" s="111"/>
      <c r="C129" s="112"/>
      <c r="D129" s="111"/>
      <c r="E129" s="107"/>
      <c r="G129" s="42"/>
      <c r="H129" s="42"/>
      <c r="I129" s="42"/>
      <c r="J129" s="42"/>
      <c r="K129" s="42"/>
      <c r="L129" s="42"/>
      <c r="M129" s="42"/>
    </row>
    <row r="130">
      <c r="A130" s="110"/>
      <c r="B130" s="111"/>
      <c r="C130" s="112"/>
      <c r="D130" s="111"/>
      <c r="E130" s="107"/>
      <c r="G130" s="42"/>
      <c r="H130" s="42"/>
      <c r="I130" s="42"/>
      <c r="J130" s="42"/>
      <c r="K130" s="42"/>
      <c r="L130" s="42"/>
      <c r="M130" s="42"/>
    </row>
    <row r="131">
      <c r="A131" s="110"/>
      <c r="B131" s="111"/>
      <c r="C131" s="112"/>
      <c r="D131" s="111"/>
      <c r="E131" s="107"/>
      <c r="G131" s="42"/>
      <c r="H131" s="42"/>
      <c r="I131" s="42"/>
      <c r="J131" s="42"/>
      <c r="K131" s="42"/>
      <c r="L131" s="42"/>
      <c r="M131" s="42"/>
    </row>
    <row r="132">
      <c r="A132" s="110"/>
      <c r="B132" s="111"/>
      <c r="C132" s="112"/>
      <c r="D132" s="111"/>
      <c r="E132" s="107"/>
      <c r="G132" s="42"/>
      <c r="H132" s="42"/>
      <c r="I132" s="42"/>
      <c r="J132" s="42"/>
      <c r="K132" s="42"/>
      <c r="L132" s="42"/>
      <c r="M132" s="42"/>
    </row>
    <row r="133">
      <c r="A133" s="149"/>
      <c r="B133" s="144"/>
      <c r="C133" s="150"/>
      <c r="D133" s="151"/>
      <c r="E133" s="107"/>
      <c r="G133" s="42"/>
      <c r="H133" s="42"/>
      <c r="I133" s="42"/>
      <c r="J133" s="42"/>
      <c r="K133" s="42"/>
      <c r="L133" s="42"/>
      <c r="M133" s="42"/>
    </row>
    <row r="134">
      <c r="A134" s="110"/>
      <c r="B134" s="111"/>
      <c r="C134" s="112"/>
      <c r="D134" s="111"/>
      <c r="E134" s="107"/>
      <c r="G134" s="42"/>
      <c r="H134" s="42"/>
      <c r="I134" s="42"/>
      <c r="J134" s="42"/>
      <c r="K134" s="42"/>
      <c r="L134" s="42"/>
      <c r="M134" s="42"/>
    </row>
    <row r="135">
      <c r="A135" s="110"/>
      <c r="B135" s="111"/>
      <c r="C135" s="112"/>
      <c r="D135" s="111"/>
      <c r="E135" s="107"/>
      <c r="G135" s="42"/>
      <c r="H135" s="42"/>
      <c r="I135" s="42"/>
      <c r="J135" s="42"/>
      <c r="K135" s="42"/>
      <c r="L135" s="42"/>
      <c r="M135" s="42"/>
    </row>
    <row r="136">
      <c r="A136" s="110"/>
      <c r="B136" s="111"/>
      <c r="C136" s="112"/>
      <c r="D136" s="111"/>
      <c r="E136" s="107"/>
      <c r="G136" s="42"/>
      <c r="H136" s="42"/>
      <c r="I136" s="42"/>
      <c r="J136" s="42"/>
      <c r="K136" s="42"/>
      <c r="L136" s="42"/>
      <c r="M136" s="42"/>
    </row>
    <row r="137">
      <c r="A137" s="110"/>
      <c r="B137" s="111"/>
      <c r="C137" s="112"/>
      <c r="D137" s="111"/>
      <c r="E137" s="107"/>
      <c r="G137" s="42"/>
      <c r="H137" s="42"/>
      <c r="I137" s="42"/>
      <c r="J137" s="42"/>
      <c r="K137" s="42"/>
      <c r="L137" s="42"/>
      <c r="M137" s="42"/>
    </row>
    <row r="138">
      <c r="A138" s="149"/>
      <c r="B138" s="144"/>
      <c r="C138" s="150"/>
      <c r="D138" s="151"/>
      <c r="E138" s="107"/>
      <c r="G138" s="42"/>
      <c r="H138" s="42"/>
      <c r="I138" s="42"/>
      <c r="J138" s="42"/>
      <c r="K138" s="42"/>
      <c r="L138" s="42"/>
      <c r="M138" s="42"/>
    </row>
    <row r="139">
      <c r="A139" s="139"/>
      <c r="B139" s="140"/>
      <c r="C139" s="141"/>
      <c r="D139" s="140"/>
      <c r="E139" s="107"/>
      <c r="G139" s="42"/>
      <c r="H139" s="42"/>
      <c r="I139" s="42"/>
      <c r="J139" s="42"/>
      <c r="K139" s="42"/>
      <c r="L139" s="42"/>
      <c r="M139" s="42"/>
    </row>
    <row r="140">
      <c r="A140" s="136"/>
      <c r="B140" s="113"/>
      <c r="C140" s="137"/>
      <c r="D140" s="138"/>
      <c r="E140" s="107"/>
      <c r="G140" s="42"/>
      <c r="H140" s="42"/>
      <c r="I140" s="42"/>
      <c r="J140" s="42"/>
      <c r="K140" s="42"/>
      <c r="L140" s="42"/>
      <c r="M140" s="42"/>
    </row>
    <row r="141">
      <c r="A141" s="139"/>
      <c r="B141" s="140"/>
      <c r="C141" s="141"/>
      <c r="D141" s="140"/>
      <c r="E141" s="107"/>
      <c r="G141" s="42"/>
      <c r="H141" s="42"/>
      <c r="I141" s="42"/>
      <c r="J141" s="42"/>
      <c r="K141" s="42"/>
      <c r="L141" s="42"/>
      <c r="M141" s="42"/>
    </row>
    <row r="142">
      <c r="A142" s="139"/>
      <c r="B142" s="140"/>
      <c r="C142" s="141"/>
      <c r="D142" s="140"/>
      <c r="E142" s="107"/>
      <c r="G142" s="42"/>
      <c r="H142" s="42"/>
      <c r="I142" s="42"/>
      <c r="J142" s="42"/>
      <c r="K142" s="42"/>
      <c r="L142" s="42"/>
      <c r="M142" s="42"/>
    </row>
    <row r="143">
      <c r="A143" s="139"/>
      <c r="B143" s="140"/>
      <c r="C143" s="141"/>
      <c r="D143" s="140"/>
      <c r="E143" s="107"/>
      <c r="G143" s="42"/>
      <c r="H143" s="42"/>
      <c r="I143" s="42"/>
      <c r="J143" s="42"/>
      <c r="K143" s="42"/>
      <c r="L143" s="42"/>
      <c r="M143" s="42"/>
    </row>
    <row r="144">
      <c r="A144" s="136"/>
      <c r="B144" s="113"/>
      <c r="C144" s="137"/>
      <c r="D144" s="138"/>
      <c r="E144" s="107"/>
      <c r="G144" s="42"/>
      <c r="H144" s="42"/>
      <c r="I144" s="42"/>
      <c r="J144" s="42"/>
      <c r="K144" s="42"/>
      <c r="L144" s="42"/>
      <c r="M144" s="42"/>
    </row>
    <row r="145">
      <c r="A145" s="44"/>
      <c r="B145" s="113"/>
      <c r="C145" s="93"/>
      <c r="D145" s="41"/>
      <c r="E145" s="107"/>
      <c r="G145" s="42"/>
      <c r="H145" s="42"/>
      <c r="I145" s="42"/>
      <c r="J145" s="42"/>
      <c r="K145" s="42"/>
      <c r="L145" s="42"/>
      <c r="M145" s="42"/>
    </row>
    <row r="146">
      <c r="A146" s="44"/>
      <c r="B146" s="113"/>
      <c r="C146" s="93"/>
      <c r="D146" s="41"/>
      <c r="E146" s="107"/>
      <c r="G146" s="42"/>
      <c r="H146" s="42"/>
      <c r="I146" s="42"/>
      <c r="J146" s="42"/>
      <c r="K146" s="42"/>
      <c r="L146" s="42"/>
      <c r="M146" s="42"/>
    </row>
    <row r="147">
      <c r="A147" s="44"/>
      <c r="B147" s="113"/>
      <c r="C147" s="93"/>
      <c r="D147" s="41"/>
      <c r="E147" s="107"/>
      <c r="G147" s="42"/>
      <c r="H147" s="42"/>
      <c r="I147" s="42"/>
      <c r="J147" s="42"/>
      <c r="K147" s="42"/>
      <c r="L147" s="42"/>
      <c r="M147" s="42"/>
    </row>
    <row r="148">
      <c r="A148" s="136"/>
      <c r="B148" s="113"/>
      <c r="C148" s="137"/>
      <c r="D148" s="138"/>
      <c r="E148" s="107"/>
      <c r="G148" s="42"/>
      <c r="H148" s="42"/>
      <c r="I148" s="42"/>
      <c r="J148" s="42"/>
      <c r="K148" s="42"/>
      <c r="L148" s="42"/>
      <c r="M148" s="42"/>
    </row>
    <row r="149">
      <c r="A149" s="136"/>
      <c r="B149" s="113"/>
      <c r="C149" s="137"/>
      <c r="D149" s="138"/>
      <c r="E149" s="107"/>
      <c r="G149" s="42"/>
      <c r="H149" s="42"/>
      <c r="I149" s="42"/>
      <c r="J149" s="42"/>
      <c r="K149" s="42"/>
      <c r="L149" s="42"/>
      <c r="M149" s="42"/>
    </row>
    <row r="150">
      <c r="A150" s="139"/>
      <c r="B150" s="140"/>
      <c r="C150" s="141"/>
      <c r="D150" s="140"/>
      <c r="E150" s="107"/>
      <c r="G150" s="42"/>
      <c r="H150" s="42"/>
      <c r="I150" s="42"/>
      <c r="J150" s="42"/>
      <c r="K150" s="42"/>
      <c r="L150" s="42"/>
      <c r="M150" s="42"/>
    </row>
    <row r="151">
      <c r="A151" s="139"/>
      <c r="B151" s="140"/>
      <c r="C151" s="141"/>
      <c r="D151" s="140"/>
      <c r="E151" s="107"/>
      <c r="G151" s="42"/>
      <c r="H151" s="42"/>
      <c r="I151" s="42"/>
      <c r="J151" s="42"/>
      <c r="K151" s="42"/>
      <c r="L151" s="42"/>
      <c r="M151" s="42"/>
    </row>
    <row r="152">
      <c r="A152" s="139"/>
      <c r="B152" s="140"/>
      <c r="C152" s="141"/>
      <c r="D152" s="140"/>
      <c r="E152" s="107"/>
      <c r="G152" s="42"/>
      <c r="H152" s="42"/>
      <c r="I152" s="42"/>
      <c r="J152" s="42"/>
      <c r="K152" s="42"/>
      <c r="L152" s="42"/>
      <c r="M152" s="42"/>
    </row>
    <row r="153">
      <c r="A153" s="139"/>
      <c r="B153" s="140"/>
      <c r="C153" s="141"/>
      <c r="D153" s="140"/>
      <c r="E153" s="107"/>
      <c r="G153" s="42"/>
      <c r="H153" s="42"/>
      <c r="I153" s="42"/>
      <c r="J153" s="42"/>
      <c r="K153" s="42"/>
      <c r="L153" s="42"/>
      <c r="M153" s="42"/>
    </row>
    <row r="154">
      <c r="A154" s="139"/>
      <c r="B154" s="140"/>
      <c r="C154" s="141"/>
      <c r="D154" s="140"/>
      <c r="E154" s="107"/>
      <c r="G154" s="42"/>
      <c r="H154" s="42"/>
      <c r="I154" s="42"/>
      <c r="J154" s="42"/>
      <c r="K154" s="42"/>
      <c r="L154" s="42"/>
      <c r="M154" s="42"/>
    </row>
    <row r="155">
      <c r="A155" s="139"/>
      <c r="B155" s="140"/>
      <c r="C155" s="141"/>
      <c r="D155" s="140"/>
      <c r="E155" s="107"/>
      <c r="G155" s="42"/>
      <c r="H155" s="42"/>
      <c r="I155" s="42"/>
      <c r="J155" s="42"/>
      <c r="K155" s="42"/>
      <c r="L155" s="42"/>
      <c r="M155" s="42"/>
    </row>
    <row r="156">
      <c r="A156" s="44"/>
      <c r="B156" s="113"/>
      <c r="C156" s="93"/>
      <c r="D156" s="41"/>
      <c r="E156" s="107"/>
      <c r="G156" s="42"/>
      <c r="H156" s="42"/>
      <c r="I156" s="42"/>
      <c r="J156" s="42"/>
      <c r="K156" s="42"/>
      <c r="L156" s="42"/>
      <c r="M156" s="42"/>
    </row>
    <row r="157">
      <c r="A157" s="44"/>
      <c r="B157" s="113"/>
      <c r="C157" s="93"/>
      <c r="D157" s="41"/>
      <c r="E157" s="107"/>
      <c r="G157" s="42"/>
      <c r="H157" s="42"/>
      <c r="I157" s="42"/>
      <c r="J157" s="42"/>
      <c r="K157" s="42"/>
      <c r="L157" s="42"/>
      <c r="M157" s="42"/>
    </row>
    <row r="158">
      <c r="A158" s="44"/>
      <c r="B158" s="113"/>
      <c r="C158" s="93"/>
      <c r="D158" s="41"/>
      <c r="E158" s="107"/>
      <c r="G158" s="42"/>
      <c r="H158" s="42"/>
      <c r="I158" s="42"/>
      <c r="J158" s="42"/>
      <c r="K158" s="42"/>
      <c r="L158" s="42"/>
      <c r="M158" s="42"/>
    </row>
    <row r="159">
      <c r="A159" s="139"/>
      <c r="B159" s="140"/>
      <c r="C159" s="141"/>
      <c r="D159" s="140"/>
      <c r="E159" s="107"/>
      <c r="G159" s="42"/>
      <c r="H159" s="42"/>
      <c r="I159" s="42"/>
      <c r="J159" s="42"/>
      <c r="K159" s="42"/>
      <c r="L159" s="42"/>
      <c r="M159" s="42"/>
    </row>
    <row r="160">
      <c r="A160" s="139"/>
      <c r="B160" s="140"/>
      <c r="C160" s="141"/>
      <c r="D160" s="140"/>
      <c r="E160" s="107"/>
      <c r="G160" s="42"/>
      <c r="H160" s="42"/>
      <c r="I160" s="42"/>
      <c r="J160" s="42"/>
      <c r="K160" s="42"/>
      <c r="L160" s="42"/>
      <c r="M160" s="42"/>
    </row>
    <row r="161">
      <c r="A161" s="139"/>
      <c r="B161" s="140"/>
      <c r="C161" s="141"/>
      <c r="D161" s="140"/>
      <c r="E161" s="107"/>
      <c r="G161" s="42"/>
      <c r="H161" s="42"/>
      <c r="I161" s="42"/>
      <c r="J161" s="42"/>
      <c r="K161" s="42"/>
      <c r="L161" s="42"/>
      <c r="M161" s="42"/>
    </row>
    <row r="162">
      <c r="A162" s="136"/>
      <c r="B162" s="113"/>
      <c r="C162" s="137"/>
      <c r="D162" s="138"/>
      <c r="E162" s="107"/>
      <c r="G162" s="42"/>
      <c r="H162" s="42"/>
      <c r="I162" s="42"/>
      <c r="J162" s="42"/>
      <c r="K162" s="42"/>
      <c r="L162" s="42"/>
      <c r="M162" s="42"/>
    </row>
    <row r="163">
      <c r="A163" s="136"/>
      <c r="B163" s="113"/>
      <c r="C163" s="137"/>
      <c r="D163" s="138"/>
      <c r="E163" s="107"/>
      <c r="G163" s="42"/>
      <c r="H163" s="42"/>
      <c r="I163" s="42"/>
      <c r="J163" s="42"/>
      <c r="K163" s="42"/>
      <c r="L163" s="42"/>
      <c r="M163" s="42"/>
    </row>
    <row r="164">
      <c r="A164" s="136"/>
      <c r="B164" s="113"/>
      <c r="C164" s="137"/>
      <c r="D164" s="138"/>
      <c r="E164" s="107"/>
      <c r="G164" s="42"/>
      <c r="H164" s="42"/>
      <c r="I164" s="42"/>
      <c r="J164" s="42"/>
      <c r="K164" s="42"/>
      <c r="L164" s="42"/>
      <c r="M164" s="42"/>
    </row>
    <row r="165">
      <c r="E165" s="107"/>
      <c r="G165" s="42"/>
      <c r="H165" s="42"/>
      <c r="I165" s="42"/>
      <c r="J165" s="42"/>
      <c r="K165" s="42"/>
      <c r="L165" s="42"/>
      <c r="M165" s="42"/>
    </row>
    <row r="166">
      <c r="E166" s="107"/>
      <c r="G166" s="42"/>
      <c r="H166" s="42"/>
      <c r="I166" s="42"/>
      <c r="J166" s="42"/>
      <c r="K166" s="42"/>
      <c r="L166" s="42"/>
      <c r="M166" s="42"/>
    </row>
    <row r="167">
      <c r="E167" s="107"/>
      <c r="G167" s="42"/>
      <c r="H167" s="42"/>
      <c r="I167" s="42"/>
      <c r="J167" s="42"/>
      <c r="K167" s="42"/>
      <c r="L167" s="42"/>
      <c r="M167" s="42"/>
    </row>
    <row r="168">
      <c r="E168" s="107"/>
      <c r="G168" s="42"/>
      <c r="H168" s="42"/>
      <c r="I168" s="42"/>
      <c r="J168" s="42"/>
      <c r="K168" s="42"/>
      <c r="L168" s="42"/>
      <c r="M168" s="42"/>
    </row>
    <row r="169">
      <c r="E169" s="107"/>
      <c r="G169" s="42"/>
      <c r="H169" s="42"/>
      <c r="I169" s="42"/>
      <c r="J169" s="42"/>
      <c r="K169" s="42"/>
      <c r="L169" s="42"/>
      <c r="M169" s="42"/>
    </row>
    <row r="170">
      <c r="E170" s="107"/>
      <c r="G170" s="42"/>
      <c r="H170" s="42"/>
      <c r="I170" s="42"/>
      <c r="J170" s="42"/>
      <c r="K170" s="42"/>
      <c r="L170" s="42"/>
      <c r="M170" s="42"/>
    </row>
    <row r="171">
      <c r="E171" s="107"/>
      <c r="G171" s="42"/>
      <c r="H171" s="42"/>
      <c r="I171" s="42"/>
      <c r="J171" s="42"/>
      <c r="K171" s="42"/>
      <c r="L171" s="42"/>
      <c r="M171" s="42"/>
    </row>
    <row r="172">
      <c r="E172" s="107"/>
      <c r="G172" s="42"/>
      <c r="H172" s="42"/>
      <c r="I172" s="42"/>
      <c r="J172" s="42"/>
      <c r="K172" s="42"/>
      <c r="L172" s="42"/>
      <c r="M172" s="42"/>
    </row>
    <row r="173">
      <c r="E173" s="107"/>
      <c r="G173" s="42"/>
      <c r="H173" s="42"/>
      <c r="I173" s="42"/>
      <c r="J173" s="42"/>
      <c r="K173" s="42"/>
      <c r="L173" s="42"/>
      <c r="M173" s="42"/>
    </row>
    <row r="174">
      <c r="E174" s="107"/>
      <c r="G174" s="42"/>
      <c r="H174" s="42"/>
      <c r="I174" s="42"/>
      <c r="J174" s="42"/>
      <c r="K174" s="42"/>
      <c r="L174" s="42"/>
      <c r="M174" s="42"/>
    </row>
    <row r="175">
      <c r="E175" s="132"/>
      <c r="G175" s="42"/>
      <c r="H175" s="42"/>
      <c r="I175" s="42"/>
      <c r="J175" s="42"/>
      <c r="K175" s="42"/>
      <c r="L175" s="42"/>
      <c r="M175" s="42"/>
    </row>
    <row r="176">
      <c r="E176" s="107"/>
      <c r="G176" s="42"/>
      <c r="H176" s="42"/>
      <c r="I176" s="42"/>
      <c r="J176" s="42"/>
      <c r="K176" s="42"/>
      <c r="L176" s="42"/>
      <c r="M176" s="42"/>
    </row>
    <row r="177">
      <c r="E177" s="107"/>
      <c r="G177" s="42"/>
      <c r="H177" s="42"/>
      <c r="I177" s="42"/>
      <c r="J177" s="42"/>
      <c r="K177" s="42"/>
      <c r="L177" s="42"/>
      <c r="M177" s="42"/>
    </row>
    <row r="178">
      <c r="E178" s="107"/>
      <c r="G178" s="42"/>
      <c r="H178" s="42"/>
      <c r="I178" s="42"/>
      <c r="J178" s="42"/>
      <c r="K178" s="42"/>
      <c r="L178" s="42"/>
      <c r="M178" s="42"/>
    </row>
    <row r="179">
      <c r="E179" s="107"/>
      <c r="G179" s="42"/>
      <c r="H179" s="42"/>
      <c r="I179" s="42"/>
      <c r="J179" s="42"/>
      <c r="K179" s="42"/>
      <c r="L179" s="42"/>
      <c r="M179" s="42"/>
    </row>
    <row r="180">
      <c r="E180" s="107"/>
      <c r="G180" s="42"/>
      <c r="H180" s="42"/>
      <c r="I180" s="42"/>
      <c r="J180" s="42"/>
      <c r="K180" s="42"/>
      <c r="L180" s="42"/>
      <c r="M180" s="42"/>
    </row>
    <row r="181">
      <c r="E181" s="107"/>
      <c r="G181" s="42"/>
      <c r="H181" s="42"/>
      <c r="I181" s="42"/>
      <c r="J181" s="42"/>
      <c r="K181" s="42"/>
      <c r="L181" s="42"/>
      <c r="M181" s="42"/>
    </row>
    <row r="182">
      <c r="E182" s="107"/>
      <c r="G182" s="42"/>
      <c r="H182" s="42"/>
      <c r="I182" s="42"/>
      <c r="J182" s="42"/>
      <c r="K182" s="42"/>
      <c r="L182" s="42"/>
      <c r="M182" s="42"/>
    </row>
    <row r="183">
      <c r="E183" s="107"/>
      <c r="G183" s="42"/>
      <c r="H183" s="42"/>
      <c r="I183" s="42"/>
      <c r="J183" s="42"/>
      <c r="K183" s="42"/>
      <c r="L183" s="42"/>
      <c r="M183" s="42"/>
    </row>
    <row r="184">
      <c r="A184" s="44"/>
      <c r="B184" s="113"/>
      <c r="C184" s="93"/>
      <c r="D184" s="41"/>
      <c r="E184" s="107"/>
      <c r="G184" s="42"/>
      <c r="H184" s="42"/>
      <c r="I184" s="42"/>
      <c r="J184" s="42"/>
      <c r="K184" s="42"/>
      <c r="L184" s="42"/>
      <c r="M184" s="42"/>
    </row>
    <row r="185">
      <c r="A185" s="44"/>
      <c r="B185" s="113"/>
      <c r="C185" s="93"/>
      <c r="D185" s="41"/>
      <c r="E185" s="107"/>
      <c r="G185" s="42"/>
      <c r="H185" s="42"/>
      <c r="I185" s="42"/>
      <c r="J185" s="42"/>
      <c r="K185" s="42"/>
      <c r="L185" s="42"/>
      <c r="M185" s="42"/>
    </row>
    <row r="186">
      <c r="A186" s="44"/>
      <c r="B186" s="113"/>
      <c r="C186" s="93"/>
      <c r="D186" s="41"/>
      <c r="E186" s="107"/>
      <c r="G186" s="42"/>
      <c r="H186" s="42"/>
      <c r="I186" s="42"/>
      <c r="J186" s="42"/>
      <c r="K186" s="42"/>
      <c r="L186" s="42"/>
      <c r="M186" s="42"/>
    </row>
    <row r="187">
      <c r="A187" s="44"/>
      <c r="B187" s="113"/>
      <c r="C187" s="93"/>
      <c r="D187" s="41"/>
      <c r="E187" s="107"/>
      <c r="G187" s="42"/>
      <c r="H187" s="42"/>
      <c r="I187" s="42"/>
      <c r="J187" s="42"/>
      <c r="K187" s="42"/>
      <c r="L187" s="42"/>
      <c r="M187" s="42"/>
    </row>
    <row r="188">
      <c r="A188" s="44"/>
      <c r="B188" s="113"/>
      <c r="C188" s="93"/>
      <c r="D188" s="41"/>
      <c r="E188" s="107"/>
      <c r="G188" s="42"/>
      <c r="H188" s="42"/>
      <c r="I188" s="42"/>
      <c r="J188" s="42"/>
      <c r="K188" s="42"/>
      <c r="L188" s="42"/>
      <c r="M188" s="42"/>
    </row>
    <row r="189">
      <c r="A189" s="44"/>
      <c r="B189" s="113"/>
      <c r="C189" s="93"/>
      <c r="D189" s="41"/>
      <c r="E189" s="107"/>
      <c r="G189" s="42"/>
      <c r="H189" s="42"/>
      <c r="I189" s="42"/>
      <c r="J189" s="42"/>
      <c r="K189" s="42"/>
      <c r="L189" s="42"/>
      <c r="M189" s="42"/>
    </row>
    <row r="190">
      <c r="A190" s="44"/>
      <c r="B190" s="113"/>
      <c r="C190" s="93"/>
      <c r="D190" s="41"/>
      <c r="E190" s="107"/>
      <c r="G190" s="42"/>
      <c r="H190" s="42"/>
      <c r="I190" s="42"/>
      <c r="J190" s="42"/>
      <c r="K190" s="42"/>
      <c r="L190" s="42"/>
      <c r="M190" s="42"/>
    </row>
    <row r="191">
      <c r="A191" s="44"/>
      <c r="B191" s="113"/>
      <c r="C191" s="93"/>
      <c r="D191" s="41"/>
      <c r="E191" s="107"/>
      <c r="G191" s="42"/>
      <c r="H191" s="42"/>
      <c r="I191" s="42"/>
      <c r="J191" s="42"/>
      <c r="K191" s="42"/>
      <c r="L191" s="42"/>
      <c r="M191" s="42"/>
    </row>
    <row r="192">
      <c r="A192" s="44"/>
      <c r="B192" s="113"/>
      <c r="C192" s="93"/>
      <c r="D192" s="41"/>
      <c r="E192" s="107"/>
      <c r="G192" s="42"/>
      <c r="H192" s="42"/>
      <c r="I192" s="42"/>
      <c r="J192" s="42"/>
      <c r="K192" s="42"/>
      <c r="L192" s="42"/>
      <c r="M192" s="42"/>
    </row>
    <row r="193">
      <c r="A193" s="44"/>
      <c r="B193" s="113"/>
      <c r="C193" s="93"/>
      <c r="D193" s="41"/>
      <c r="E193" s="107"/>
      <c r="G193" s="42"/>
      <c r="H193" s="42"/>
      <c r="I193" s="42"/>
      <c r="J193" s="42"/>
      <c r="K193" s="42"/>
      <c r="L193" s="42"/>
      <c r="M193" s="42"/>
    </row>
    <row r="194">
      <c r="A194" s="44"/>
      <c r="B194" s="113"/>
      <c r="C194" s="93"/>
      <c r="D194" s="41"/>
      <c r="E194" s="107"/>
      <c r="G194" s="42"/>
      <c r="H194" s="42"/>
      <c r="I194" s="42"/>
      <c r="J194" s="42"/>
      <c r="K194" s="42"/>
      <c r="L194" s="42"/>
      <c r="M194" s="42"/>
    </row>
    <row r="195">
      <c r="A195" s="44"/>
      <c r="B195" s="113"/>
      <c r="C195" s="93"/>
      <c r="D195" s="41"/>
      <c r="E195" s="107"/>
      <c r="G195" s="42"/>
      <c r="H195" s="42"/>
      <c r="I195" s="42"/>
      <c r="J195" s="42"/>
      <c r="K195" s="42"/>
      <c r="L195" s="42"/>
      <c r="M195" s="42"/>
    </row>
    <row r="196">
      <c r="A196" s="44"/>
      <c r="B196" s="113"/>
      <c r="C196" s="93"/>
      <c r="D196" s="41"/>
      <c r="E196" s="107"/>
      <c r="G196" s="42"/>
      <c r="H196" s="42"/>
      <c r="I196" s="42"/>
      <c r="J196" s="42"/>
      <c r="K196" s="42"/>
      <c r="L196" s="42"/>
      <c r="M196" s="42"/>
    </row>
    <row r="197">
      <c r="A197" s="44"/>
      <c r="B197" s="113"/>
      <c r="C197" s="93"/>
      <c r="D197" s="41"/>
      <c r="E197" s="107"/>
      <c r="G197" s="42"/>
      <c r="H197" s="42"/>
      <c r="I197" s="42"/>
      <c r="J197" s="42"/>
      <c r="K197" s="42"/>
      <c r="L197" s="42"/>
      <c r="M197" s="42"/>
    </row>
    <row r="198">
      <c r="A198" s="44"/>
      <c r="B198" s="113"/>
      <c r="C198" s="93"/>
      <c r="D198" s="41"/>
      <c r="E198" s="107"/>
      <c r="G198" s="42"/>
      <c r="H198" s="42"/>
      <c r="I198" s="42"/>
      <c r="J198" s="42"/>
      <c r="K198" s="42"/>
      <c r="L198" s="42"/>
      <c r="M198" s="42"/>
    </row>
    <row r="199">
      <c r="A199" s="44"/>
      <c r="B199" s="113"/>
      <c r="C199" s="93"/>
      <c r="D199" s="41"/>
      <c r="E199" s="107"/>
      <c r="G199" s="42"/>
      <c r="H199" s="42"/>
      <c r="I199" s="42"/>
      <c r="J199" s="42"/>
      <c r="K199" s="42"/>
      <c r="L199" s="42"/>
      <c r="M199" s="42"/>
    </row>
    <row r="200">
      <c r="A200" s="44"/>
      <c r="B200" s="113"/>
      <c r="C200" s="93"/>
      <c r="D200" s="41"/>
      <c r="E200" s="107"/>
      <c r="G200" s="42"/>
      <c r="H200" s="42"/>
      <c r="I200" s="42"/>
      <c r="J200" s="42"/>
      <c r="K200" s="42"/>
      <c r="L200" s="42"/>
      <c r="M200" s="42"/>
    </row>
  </sheetData>
  <autoFilter ref="$A$33:$D$52">
    <sortState ref="A33:D52">
      <sortCondition ref="A33:A52"/>
    </sortState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9 D34:D35 D41:D44 D47:D49 D86 D89 D91 D93 D96 D101 D103 D107 D110:D111 D116:D118 D121:D122 D124 D127:D132 D134:D137 D139 B32:B142 D141:D143 D150:D155 D159:D161 B144:B164 B184:B200">
      <formula1>'Hidden list and Figures'!$A$3:$A$15</formula1>
    </dataValidation>
    <dataValidation type="custom" allowBlank="1" showDropDown="1" showInputMessage="1" prompt="Select a date" sqref="A34:A164 A184:A200">
      <formula1>OR(NOT(ISERROR(DATEVALUE(A34))), AND(ISNUMBER(A34), LEFT(CELL("format", A34))="D"))</formula1>
    </dataValidation>
    <dataValidation type="list" allowBlank="1" sqref="B143">
      <formula1>'Hidden list and Figures'!$A$3:$A$15</formula1>
    </dataValidation>
  </dataValidations>
  <hyperlinks>
    <hyperlink r:id="rId1" ref="D45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sumif($B$20:$C$582,A6,$C$20:$C$582)</f>
        <v>1645.94</v>
      </c>
      <c r="D6" s="17">
        <f t="shared" ref="D6:D16" si="2">B6-C6</f>
        <v>1017.74</v>
      </c>
      <c r="E6" s="18">
        <f t="shared" ref="E6:E17" si="3">D6/B6</f>
        <v>0.3820804301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4200.0</v>
      </c>
    </row>
    <row r="8">
      <c r="A8" s="21" t="s">
        <v>14</v>
      </c>
      <c r="B8" s="22">
        <v>250.0</v>
      </c>
      <c r="C8" s="16">
        <f t="shared" si="1"/>
        <v>35.05</v>
      </c>
      <c r="D8" s="23">
        <f t="shared" si="2"/>
        <v>214.95</v>
      </c>
      <c r="E8" s="18">
        <f t="shared" si="3"/>
        <v>0.8598</v>
      </c>
      <c r="G8" s="64" t="s">
        <v>27</v>
      </c>
      <c r="H8" s="92">
        <f>SUM(H6:H7)</f>
        <v>4200</v>
      </c>
    </row>
    <row r="9">
      <c r="A9" s="24" t="s">
        <v>15</v>
      </c>
      <c r="B9" s="22">
        <v>400.0</v>
      </c>
      <c r="C9" s="16">
        <f t="shared" si="1"/>
        <v>283.7</v>
      </c>
      <c r="D9" s="23">
        <f t="shared" si="2"/>
        <v>116.3</v>
      </c>
      <c r="E9" s="18">
        <f t="shared" si="3"/>
        <v>0.29075</v>
      </c>
    </row>
    <row r="10">
      <c r="A10" s="24" t="s">
        <v>17</v>
      </c>
      <c r="B10" s="22">
        <v>400.0</v>
      </c>
      <c r="C10" s="16">
        <f t="shared" si="1"/>
        <v>833.22</v>
      </c>
      <c r="D10" s="23">
        <f t="shared" si="2"/>
        <v>-433.22</v>
      </c>
      <c r="E10" s="18">
        <f t="shared" si="3"/>
        <v>-1.08305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642.44</v>
      </c>
      <c r="D11" s="23">
        <f t="shared" si="2"/>
        <v>-442.44</v>
      </c>
      <c r="E11" s="18">
        <f t="shared" si="3"/>
        <v>-2.2122</v>
      </c>
      <c r="G11" s="19" t="s">
        <v>18</v>
      </c>
      <c r="H11" s="14">
        <f>sum(C17)</f>
        <v>4677.46</v>
      </c>
    </row>
    <row r="12">
      <c r="A12" s="24" t="s">
        <v>79</v>
      </c>
      <c r="B12" s="22">
        <v>500.0</v>
      </c>
      <c r="C12" s="16">
        <f t="shared" si="1"/>
        <v>98.6</v>
      </c>
      <c r="D12" s="23">
        <f t="shared" si="2"/>
        <v>401.4</v>
      </c>
      <c r="E12" s="18">
        <f t="shared" si="3"/>
        <v>0.8028</v>
      </c>
      <c r="H12" s="14"/>
    </row>
    <row r="13">
      <c r="A13" s="25" t="s">
        <v>22</v>
      </c>
      <c r="B13" s="22">
        <v>200.0</v>
      </c>
      <c r="C13" s="16">
        <f t="shared" si="1"/>
        <v>62.57</v>
      </c>
      <c r="D13" s="23">
        <f t="shared" si="2"/>
        <v>137.43</v>
      </c>
      <c r="E13" s="18">
        <f t="shared" si="3"/>
        <v>0.68715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5.21</v>
      </c>
      <c r="D14" s="23">
        <f t="shared" si="2"/>
        <v>-5.21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1070.73</v>
      </c>
      <c r="D15" s="28">
        <f t="shared" si="2"/>
        <v>-770.73</v>
      </c>
      <c r="E15" s="18">
        <f t="shared" si="3"/>
        <v>-2.5691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SUMIF($B$20:$C$296,"Travel",$C$20:$C$296)</f>
        <v>98.6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4677.46</v>
      </c>
      <c r="D17" s="31">
        <f>SUM(D6:D15)</f>
        <v>236.22</v>
      </c>
      <c r="E17" s="18">
        <f t="shared" si="3"/>
        <v>0.04807394865</v>
      </c>
      <c r="F17" s="36"/>
      <c r="G17" s="13" t="s">
        <v>28</v>
      </c>
      <c r="H17" s="33">
        <f>500-SUMIF($B$20:$C$296,"Travel",$C$20:$C$296)+'April 2024'!H17</f>
        <v>904.64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/>
      <c r="B21" s="40"/>
      <c r="C21" s="41"/>
      <c r="D21" s="95"/>
      <c r="E21" s="41"/>
      <c r="G21" s="42"/>
      <c r="H21" s="42"/>
      <c r="I21" s="42"/>
      <c r="J21" s="42"/>
      <c r="K21" s="42"/>
      <c r="L21" s="42"/>
      <c r="M21" s="42"/>
    </row>
    <row r="22">
      <c r="A22" s="40"/>
      <c r="B22" s="40"/>
      <c r="C22" s="41"/>
      <c r="D22" s="95"/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/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102">
        <v>40.0</v>
      </c>
      <c r="D24" s="41" t="s">
        <v>23</v>
      </c>
      <c r="E24" s="41"/>
      <c r="G24" s="19" t="s">
        <v>750</v>
      </c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2.87</v>
      </c>
      <c r="D25" s="41" t="s">
        <v>39</v>
      </c>
      <c r="E25" s="41"/>
      <c r="F25" s="19" t="s">
        <v>751</v>
      </c>
      <c r="G25" s="42">
        <f>8.62+3758.03</f>
        <v>3766.65</v>
      </c>
      <c r="H25" s="40" t="s">
        <v>752</v>
      </c>
      <c r="I25" s="42"/>
      <c r="J25" s="40"/>
      <c r="K25" s="42"/>
      <c r="L25" s="42"/>
      <c r="M25" s="42"/>
    </row>
    <row r="26">
      <c r="A26" s="40" t="s">
        <v>32</v>
      </c>
      <c r="B26" s="40" t="s">
        <v>10</v>
      </c>
      <c r="C26" s="41">
        <v>2.99</v>
      </c>
      <c r="D26" s="41" t="s">
        <v>40</v>
      </c>
      <c r="E26" s="41"/>
      <c r="F26" s="19" t="s">
        <v>753</v>
      </c>
      <c r="G26" s="40">
        <v>0.0</v>
      </c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5.83</v>
      </c>
      <c r="D27" s="41" t="s">
        <v>41</v>
      </c>
      <c r="E27" s="41"/>
      <c r="F27" s="19" t="s">
        <v>754</v>
      </c>
      <c r="G27" s="40">
        <v>965.33</v>
      </c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6.25</v>
      </c>
      <c r="D28" s="41" t="s">
        <v>488</v>
      </c>
      <c r="E28" s="41"/>
      <c r="F28" s="19" t="s">
        <v>755</v>
      </c>
      <c r="G28" s="42">
        <f>274.97+19.17+184.41+1077.59+1829.28</f>
        <v>3385.42</v>
      </c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112.0</v>
      </c>
      <c r="D29" s="41" t="s">
        <v>42</v>
      </c>
      <c r="E29" s="41"/>
      <c r="F29" s="19" t="s">
        <v>756</v>
      </c>
      <c r="G29" s="42">
        <f>27.87</f>
        <v>27.87</v>
      </c>
      <c r="H29" s="40" t="s">
        <v>757</v>
      </c>
      <c r="I29" s="42"/>
      <c r="J29" s="42"/>
      <c r="K29" s="42"/>
      <c r="L29" s="42"/>
      <c r="M29" s="42"/>
    </row>
    <row r="30">
      <c r="E30" s="41"/>
      <c r="F30" s="19" t="s">
        <v>758</v>
      </c>
      <c r="G30" s="40">
        <v>1388.4</v>
      </c>
      <c r="H30" s="42"/>
      <c r="I30" s="42"/>
      <c r="J30" s="42"/>
      <c r="K30" s="42"/>
      <c r="L30" s="42"/>
      <c r="M30" s="42"/>
    </row>
    <row r="31">
      <c r="E31" s="41"/>
      <c r="F31" s="19" t="s">
        <v>759</v>
      </c>
      <c r="G31" s="42">
        <f>SUM(G25:G30)</f>
        <v>9533.67</v>
      </c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F32" s="19" t="s">
        <v>33</v>
      </c>
      <c r="G32" s="40">
        <v>2900.0</v>
      </c>
      <c r="H32" s="42"/>
      <c r="I32" s="42"/>
      <c r="J32" s="42"/>
      <c r="K32" s="42"/>
      <c r="L32" s="42"/>
      <c r="M32" s="42"/>
    </row>
    <row r="33">
      <c r="A33" s="44"/>
      <c r="B33" s="40"/>
      <c r="C33" s="41"/>
      <c r="D33" s="41"/>
      <c r="E33" s="41"/>
      <c r="G33" s="40">
        <v>8000.0</v>
      </c>
      <c r="H33" s="42"/>
      <c r="I33" s="42"/>
      <c r="J33" s="42"/>
      <c r="K33" s="42"/>
      <c r="L33" s="42"/>
      <c r="M33" s="42"/>
    </row>
    <row r="34">
      <c r="A34" s="152">
        <v>45684.0</v>
      </c>
      <c r="B34" s="153"/>
      <c r="C34" s="154">
        <v>355.85</v>
      </c>
      <c r="D34" s="155" t="s">
        <v>974</v>
      </c>
      <c r="E34" s="156"/>
      <c r="G34" s="42"/>
      <c r="H34" s="42"/>
      <c r="I34" s="42"/>
      <c r="J34" s="42"/>
      <c r="K34" s="42"/>
      <c r="L34" s="42"/>
      <c r="M34" s="42"/>
    </row>
    <row r="35">
      <c r="A35" s="136">
        <v>45668.0</v>
      </c>
      <c r="B35" s="113" t="s">
        <v>15</v>
      </c>
      <c r="C35" s="137">
        <v>159.98</v>
      </c>
      <c r="D35" s="138" t="s">
        <v>806</v>
      </c>
      <c r="E35" s="156"/>
      <c r="G35" s="42"/>
      <c r="H35" s="42"/>
      <c r="I35" s="42"/>
      <c r="J35" s="42"/>
      <c r="K35" s="42"/>
      <c r="L35" s="42"/>
      <c r="M35" s="42"/>
    </row>
    <row r="36">
      <c r="A36" s="136">
        <v>45680.0</v>
      </c>
      <c r="B36" s="113" t="s">
        <v>19</v>
      </c>
      <c r="C36" s="137">
        <v>127.48</v>
      </c>
      <c r="D36" s="138" t="s">
        <v>975</v>
      </c>
      <c r="E36" s="156"/>
      <c r="G36" s="42"/>
      <c r="H36" s="42"/>
      <c r="I36" s="42"/>
      <c r="J36" s="42"/>
      <c r="K36" s="42"/>
      <c r="L36" s="42"/>
      <c r="M36" s="42"/>
    </row>
    <row r="37">
      <c r="A37" s="152">
        <v>45685.0</v>
      </c>
      <c r="B37" s="157" t="s">
        <v>19</v>
      </c>
      <c r="C37" s="154">
        <v>97.98</v>
      </c>
      <c r="D37" s="158" t="s">
        <v>976</v>
      </c>
      <c r="E37" s="156"/>
      <c r="G37" s="42"/>
      <c r="H37" s="42"/>
      <c r="I37" s="42"/>
      <c r="J37" s="42"/>
      <c r="K37" s="42"/>
      <c r="L37" s="42"/>
      <c r="M37" s="42"/>
    </row>
    <row r="38">
      <c r="A38" s="136">
        <v>45662.0</v>
      </c>
      <c r="B38" s="113" t="s">
        <v>79</v>
      </c>
      <c r="C38" s="137">
        <v>59.35</v>
      </c>
      <c r="D38" s="138" t="s">
        <v>977</v>
      </c>
      <c r="E38" s="156"/>
      <c r="G38" s="42"/>
      <c r="H38" s="42"/>
      <c r="I38" s="42"/>
      <c r="J38" s="42"/>
      <c r="K38" s="42"/>
      <c r="L38" s="42"/>
      <c r="M38" s="42"/>
    </row>
    <row r="39">
      <c r="A39" s="136">
        <v>45661.0</v>
      </c>
      <c r="B39" s="113" t="s">
        <v>19</v>
      </c>
      <c r="C39" s="137">
        <v>56.28</v>
      </c>
      <c r="D39" s="138" t="s">
        <v>978</v>
      </c>
      <c r="E39" s="137"/>
      <c r="G39" s="42"/>
      <c r="H39" s="42"/>
      <c r="I39" s="42"/>
      <c r="J39" s="42"/>
      <c r="K39" s="42"/>
      <c r="L39" s="42"/>
      <c r="M39" s="42"/>
    </row>
    <row r="40">
      <c r="A40" s="136">
        <v>45684.0</v>
      </c>
      <c r="B40" s="113" t="s">
        <v>25</v>
      </c>
      <c r="C40" s="137">
        <v>55.36</v>
      </c>
      <c r="D40" s="138" t="s">
        <v>979</v>
      </c>
      <c r="E40" s="137"/>
      <c r="G40" s="42"/>
      <c r="H40" s="42"/>
      <c r="I40" s="42"/>
      <c r="J40" s="42"/>
      <c r="K40" s="42"/>
      <c r="L40" s="42"/>
      <c r="M40" s="42"/>
    </row>
    <row r="41">
      <c r="A41" s="136">
        <v>45663.0</v>
      </c>
      <c r="B41" s="113" t="s">
        <v>25</v>
      </c>
      <c r="C41" s="137">
        <v>51.14</v>
      </c>
      <c r="D41" s="138" t="s">
        <v>980</v>
      </c>
      <c r="E41" s="137"/>
      <c r="G41" s="42"/>
      <c r="H41" s="42"/>
      <c r="I41" s="42"/>
      <c r="J41" s="42"/>
      <c r="K41" s="42"/>
      <c r="L41" s="42"/>
      <c r="M41" s="42"/>
    </row>
    <row r="42">
      <c r="A42" s="136">
        <v>45666.0</v>
      </c>
      <c r="B42" s="113" t="s">
        <v>19</v>
      </c>
      <c r="C42" s="137">
        <v>43.11</v>
      </c>
      <c r="D42" s="138" t="s">
        <v>981</v>
      </c>
      <c r="E42" s="137"/>
      <c r="G42" s="42"/>
      <c r="H42" s="42"/>
      <c r="I42" s="42"/>
      <c r="J42" s="42"/>
      <c r="K42" s="42"/>
      <c r="L42" s="42"/>
      <c r="M42" s="42"/>
    </row>
    <row r="43">
      <c r="A43" s="136">
        <v>45667.0</v>
      </c>
      <c r="B43" s="113" t="s">
        <v>25</v>
      </c>
      <c r="C43" s="137">
        <v>39.32</v>
      </c>
      <c r="D43" s="138" t="s">
        <v>980</v>
      </c>
      <c r="E43" s="137"/>
      <c r="G43" s="42"/>
      <c r="H43" s="42"/>
      <c r="I43" s="42"/>
      <c r="J43" s="42"/>
      <c r="K43" s="42"/>
      <c r="L43" s="42"/>
      <c r="M43" s="42"/>
    </row>
    <row r="44">
      <c r="A44" s="136">
        <v>45684.0</v>
      </c>
      <c r="B44" s="142" t="s">
        <v>17</v>
      </c>
      <c r="C44" s="137">
        <v>38.89</v>
      </c>
      <c r="D44" s="159" t="s">
        <v>982</v>
      </c>
      <c r="E44" s="132"/>
      <c r="G44" s="42"/>
      <c r="H44" s="42"/>
      <c r="I44" s="42"/>
      <c r="J44" s="42"/>
      <c r="K44" s="42"/>
      <c r="L44" s="42"/>
      <c r="M44" s="42"/>
    </row>
    <row r="45">
      <c r="A45" s="136">
        <v>45660.0</v>
      </c>
      <c r="B45" s="140" t="s">
        <v>15</v>
      </c>
      <c r="C45" s="137">
        <v>38.01</v>
      </c>
      <c r="D45" s="138" t="s">
        <v>983</v>
      </c>
      <c r="E45" s="137"/>
      <c r="G45" s="42"/>
      <c r="H45" s="42"/>
      <c r="I45" s="42"/>
      <c r="J45" s="42"/>
      <c r="K45" s="42"/>
      <c r="L45" s="42"/>
      <c r="M45" s="42"/>
    </row>
    <row r="46">
      <c r="A46" s="136">
        <v>45658.0</v>
      </c>
      <c r="B46" s="113" t="s">
        <v>25</v>
      </c>
      <c r="C46" s="137">
        <v>34.8</v>
      </c>
      <c r="D46" s="138" t="s">
        <v>984</v>
      </c>
      <c r="E46" s="137"/>
      <c r="G46" s="42"/>
      <c r="H46" s="42"/>
      <c r="I46" s="42"/>
      <c r="J46" s="42"/>
      <c r="K46" s="42"/>
      <c r="L46" s="42"/>
      <c r="M46" s="42"/>
    </row>
    <row r="47">
      <c r="A47" s="136">
        <v>45685.0</v>
      </c>
      <c r="B47" s="142" t="s">
        <v>17</v>
      </c>
      <c r="C47" s="137">
        <v>34.13</v>
      </c>
      <c r="D47" s="138" t="s">
        <v>985</v>
      </c>
      <c r="E47" s="137"/>
      <c r="G47" s="42"/>
      <c r="H47" s="42"/>
      <c r="I47" s="42"/>
      <c r="J47" s="42"/>
      <c r="K47" s="42"/>
      <c r="L47" s="42"/>
      <c r="M47" s="42"/>
    </row>
    <row r="48">
      <c r="A48" s="136">
        <v>45685.0</v>
      </c>
      <c r="B48" s="113" t="s">
        <v>25</v>
      </c>
      <c r="C48" s="137">
        <v>32.24</v>
      </c>
      <c r="D48" s="138" t="s">
        <v>986</v>
      </c>
      <c r="E48" s="137"/>
      <c r="G48" s="42"/>
      <c r="H48" s="42"/>
      <c r="I48" s="42"/>
      <c r="J48" s="42"/>
      <c r="K48" s="42"/>
      <c r="L48" s="42"/>
      <c r="M48" s="42"/>
    </row>
    <row r="49">
      <c r="A49" s="160">
        <v>45687.0</v>
      </c>
      <c r="B49" s="113" t="s">
        <v>17</v>
      </c>
      <c r="C49" s="137">
        <v>31.04</v>
      </c>
      <c r="D49" s="161" t="s">
        <v>987</v>
      </c>
      <c r="E49" s="162"/>
      <c r="G49" s="42"/>
      <c r="H49" s="42"/>
      <c r="I49" s="42"/>
      <c r="J49" s="42"/>
      <c r="K49" s="42"/>
      <c r="L49" s="42"/>
      <c r="M49" s="42"/>
    </row>
    <row r="50">
      <c r="A50" s="160">
        <v>45688.0</v>
      </c>
      <c r="B50" s="140" t="s">
        <v>17</v>
      </c>
      <c r="C50" s="137">
        <v>30.74</v>
      </c>
      <c r="D50" s="161" t="s">
        <v>988</v>
      </c>
      <c r="E50" s="162"/>
      <c r="G50" s="42"/>
      <c r="H50" s="42"/>
      <c r="I50" s="42"/>
      <c r="J50" s="42"/>
      <c r="K50" s="42"/>
      <c r="L50" s="42"/>
      <c r="M50" s="42"/>
    </row>
    <row r="51">
      <c r="A51" s="136">
        <v>45664.0</v>
      </c>
      <c r="B51" s="113" t="s">
        <v>25</v>
      </c>
      <c r="C51" s="137">
        <v>30.73</v>
      </c>
      <c r="D51" s="138" t="s">
        <v>989</v>
      </c>
      <c r="E51" s="137"/>
      <c r="G51" s="42"/>
      <c r="H51" s="42"/>
      <c r="I51" s="42"/>
      <c r="J51" s="42"/>
      <c r="K51" s="42"/>
      <c r="L51" s="42"/>
      <c r="M51" s="42"/>
    </row>
    <row r="52">
      <c r="A52" s="160">
        <v>45688.0</v>
      </c>
      <c r="B52" s="113" t="s">
        <v>17</v>
      </c>
      <c r="C52" s="137">
        <v>29.27</v>
      </c>
      <c r="D52" s="161" t="s">
        <v>990</v>
      </c>
      <c r="E52" s="162"/>
      <c r="G52" s="42"/>
      <c r="H52" s="42"/>
      <c r="I52" s="42"/>
      <c r="J52" s="42"/>
      <c r="K52" s="42"/>
      <c r="L52" s="42"/>
      <c r="M52" s="42"/>
    </row>
    <row r="53">
      <c r="A53" s="136">
        <v>45676.0</v>
      </c>
      <c r="B53" s="140" t="s">
        <v>15</v>
      </c>
      <c r="C53" s="137">
        <v>28.96</v>
      </c>
      <c r="D53" s="138" t="s">
        <v>991</v>
      </c>
      <c r="E53" s="137"/>
      <c r="G53" s="42"/>
      <c r="H53" s="42"/>
      <c r="I53" s="42"/>
      <c r="J53" s="42"/>
      <c r="K53" s="42"/>
      <c r="L53" s="42"/>
      <c r="M53" s="42"/>
    </row>
    <row r="54">
      <c r="A54" s="136">
        <v>45683.0</v>
      </c>
      <c r="B54" s="113" t="s">
        <v>25</v>
      </c>
      <c r="C54" s="137">
        <v>28.73</v>
      </c>
      <c r="D54" s="138" t="s">
        <v>979</v>
      </c>
      <c r="E54" s="132"/>
      <c r="G54" s="42"/>
      <c r="H54" s="42"/>
      <c r="I54" s="42"/>
      <c r="J54" s="42"/>
      <c r="K54" s="42"/>
      <c r="L54" s="42"/>
      <c r="M54" s="42"/>
    </row>
    <row r="55">
      <c r="A55" s="136">
        <v>45683.0</v>
      </c>
      <c r="B55" s="113" t="s">
        <v>25</v>
      </c>
      <c r="C55" s="137">
        <v>27.68</v>
      </c>
      <c r="D55" s="138" t="s">
        <v>979</v>
      </c>
      <c r="E55" s="137"/>
      <c r="G55" s="42"/>
      <c r="H55" s="42"/>
      <c r="I55" s="42"/>
      <c r="J55" s="42"/>
      <c r="K55" s="42"/>
      <c r="L55" s="42"/>
      <c r="M55" s="42"/>
    </row>
    <row r="56">
      <c r="A56" s="160">
        <v>45687.0</v>
      </c>
      <c r="B56" s="142" t="s">
        <v>17</v>
      </c>
      <c r="C56" s="137">
        <v>25.16</v>
      </c>
      <c r="D56" s="161" t="s">
        <v>992</v>
      </c>
      <c r="E56" s="162"/>
      <c r="G56" s="42"/>
      <c r="H56" s="42"/>
      <c r="I56" s="42"/>
      <c r="J56" s="42"/>
      <c r="K56" s="42"/>
      <c r="L56" s="42"/>
      <c r="M56" s="42"/>
    </row>
    <row r="57">
      <c r="A57" s="136">
        <v>45685.0</v>
      </c>
      <c r="B57" s="113" t="s">
        <v>25</v>
      </c>
      <c r="C57" s="137">
        <v>25.07</v>
      </c>
      <c r="D57" s="161" t="s">
        <v>980</v>
      </c>
      <c r="E57" s="132"/>
      <c r="G57" s="42"/>
      <c r="H57" s="42"/>
      <c r="I57" s="42"/>
      <c r="J57" s="42"/>
      <c r="K57" s="42"/>
      <c r="L57" s="42"/>
      <c r="M57" s="42"/>
    </row>
    <row r="58">
      <c r="A58" s="136">
        <v>45666.0</v>
      </c>
      <c r="B58" s="113" t="s">
        <v>19</v>
      </c>
      <c r="C58" s="137">
        <v>22.11</v>
      </c>
      <c r="D58" s="138" t="s">
        <v>814</v>
      </c>
      <c r="E58" s="137"/>
      <c r="G58" s="42"/>
      <c r="H58" s="42"/>
      <c r="I58" s="42"/>
      <c r="J58" s="42"/>
      <c r="K58" s="42"/>
      <c r="L58" s="42"/>
      <c r="M58" s="42"/>
    </row>
    <row r="59">
      <c r="A59" s="136">
        <v>45677.0</v>
      </c>
      <c r="B59" s="144" t="s">
        <v>19</v>
      </c>
      <c r="C59" s="137">
        <v>20.37</v>
      </c>
      <c r="D59" s="161" t="s">
        <v>993</v>
      </c>
      <c r="E59" s="137"/>
      <c r="G59" s="42"/>
      <c r="H59" s="42"/>
      <c r="I59" s="42"/>
      <c r="J59" s="42"/>
      <c r="K59" s="42"/>
      <c r="L59" s="42"/>
      <c r="M59" s="42"/>
    </row>
    <row r="60">
      <c r="A60" s="136">
        <v>45685.0</v>
      </c>
      <c r="B60" s="113" t="s">
        <v>25</v>
      </c>
      <c r="C60" s="137">
        <v>16.86</v>
      </c>
      <c r="D60" s="138" t="s">
        <v>994</v>
      </c>
      <c r="E60" s="137"/>
      <c r="G60" s="42"/>
      <c r="H60" s="42"/>
      <c r="I60" s="42"/>
      <c r="J60" s="42"/>
      <c r="K60" s="42"/>
      <c r="L60" s="42"/>
      <c r="M60" s="42"/>
    </row>
    <row r="61">
      <c r="A61" s="160">
        <v>45687.0</v>
      </c>
      <c r="B61" s="113" t="s">
        <v>79</v>
      </c>
      <c r="C61" s="137">
        <v>16.6</v>
      </c>
      <c r="D61" s="161" t="s">
        <v>995</v>
      </c>
      <c r="E61" s="162"/>
      <c r="G61" s="42"/>
      <c r="H61" s="42"/>
      <c r="I61" s="42"/>
      <c r="J61" s="42"/>
      <c r="K61" s="42"/>
      <c r="L61" s="42"/>
      <c r="M61" s="42"/>
    </row>
    <row r="62">
      <c r="A62" s="136">
        <v>45684.0</v>
      </c>
      <c r="B62" s="113" t="s">
        <v>17</v>
      </c>
      <c r="C62" s="137">
        <v>14.63</v>
      </c>
      <c r="D62" s="138" t="s">
        <v>996</v>
      </c>
      <c r="E62" s="137"/>
      <c r="G62" s="42"/>
      <c r="H62" s="42"/>
      <c r="I62" s="42"/>
      <c r="J62" s="42"/>
      <c r="K62" s="42"/>
      <c r="L62" s="42"/>
      <c r="M62" s="42"/>
    </row>
    <row r="63">
      <c r="A63" s="136">
        <v>45684.0</v>
      </c>
      <c r="B63" s="113" t="s">
        <v>19</v>
      </c>
      <c r="C63" s="137">
        <v>13.99</v>
      </c>
      <c r="D63" s="138" t="s">
        <v>997</v>
      </c>
      <c r="E63" s="137"/>
      <c r="G63" s="42"/>
      <c r="H63" s="42"/>
      <c r="I63" s="42"/>
      <c r="J63" s="42"/>
      <c r="K63" s="42"/>
      <c r="L63" s="42"/>
      <c r="M63" s="42"/>
    </row>
    <row r="64">
      <c r="A64" s="160">
        <v>45686.0</v>
      </c>
      <c r="B64" s="142" t="s">
        <v>17</v>
      </c>
      <c r="C64" s="137">
        <v>12.7</v>
      </c>
      <c r="D64" s="161" t="s">
        <v>996</v>
      </c>
      <c r="E64" s="162"/>
      <c r="G64" s="42"/>
      <c r="H64" s="42"/>
      <c r="I64" s="42"/>
      <c r="J64" s="42"/>
      <c r="K64" s="42"/>
      <c r="L64" s="42"/>
      <c r="M64" s="42"/>
    </row>
    <row r="65">
      <c r="A65" s="136">
        <v>45684.0</v>
      </c>
      <c r="B65" s="113" t="s">
        <v>17</v>
      </c>
      <c r="C65" s="137">
        <v>12.63</v>
      </c>
      <c r="D65" s="138" t="s">
        <v>996</v>
      </c>
      <c r="E65" s="137"/>
      <c r="G65" s="42"/>
      <c r="H65" s="42"/>
      <c r="I65" s="42"/>
      <c r="J65" s="42"/>
      <c r="K65" s="42"/>
      <c r="L65" s="42"/>
      <c r="M65" s="42"/>
    </row>
    <row r="66">
      <c r="A66" s="136">
        <v>45686.0</v>
      </c>
      <c r="B66" s="140" t="s">
        <v>15</v>
      </c>
      <c r="C66" s="137">
        <v>9.99</v>
      </c>
      <c r="D66" s="161" t="s">
        <v>936</v>
      </c>
      <c r="E66" s="137"/>
      <c r="G66" s="42"/>
      <c r="H66" s="42"/>
      <c r="I66" s="42"/>
      <c r="J66" s="42"/>
      <c r="K66" s="42"/>
      <c r="L66" s="42"/>
      <c r="M66" s="42"/>
    </row>
    <row r="67">
      <c r="A67" s="160">
        <v>45688.0</v>
      </c>
      <c r="B67" s="140" t="s">
        <v>79</v>
      </c>
      <c r="C67" s="137">
        <v>6.86</v>
      </c>
      <c r="D67" s="161" t="s">
        <v>995</v>
      </c>
      <c r="E67" s="162"/>
      <c r="G67" s="42"/>
      <c r="H67" s="42"/>
      <c r="I67" s="42"/>
      <c r="J67" s="42"/>
      <c r="K67" s="42"/>
      <c r="L67" s="42"/>
      <c r="M67" s="42"/>
    </row>
    <row r="68">
      <c r="A68" s="136">
        <v>45660.0</v>
      </c>
      <c r="B68" s="113" t="s">
        <v>19</v>
      </c>
      <c r="C68" s="137">
        <v>5.84</v>
      </c>
      <c r="D68" s="138" t="s">
        <v>998</v>
      </c>
      <c r="E68" s="137"/>
      <c r="G68" s="42"/>
      <c r="H68" s="42"/>
      <c r="I68" s="42"/>
      <c r="J68" s="42"/>
      <c r="K68" s="42"/>
      <c r="L68" s="42"/>
      <c r="M68" s="42"/>
    </row>
    <row r="69">
      <c r="A69" s="136">
        <v>45665.0</v>
      </c>
      <c r="B69" s="113" t="s">
        <v>79</v>
      </c>
      <c r="C69" s="137">
        <v>5.6</v>
      </c>
      <c r="D69" s="138" t="s">
        <v>999</v>
      </c>
      <c r="E69" s="137"/>
      <c r="G69" s="42"/>
      <c r="H69" s="42"/>
      <c r="I69" s="42"/>
      <c r="J69" s="42"/>
      <c r="K69" s="42"/>
      <c r="L69" s="42"/>
      <c r="M69" s="42"/>
    </row>
    <row r="70">
      <c r="A70" s="136">
        <v>45683.0</v>
      </c>
      <c r="B70" s="113" t="s">
        <v>17</v>
      </c>
      <c r="C70" s="137">
        <v>4.21</v>
      </c>
      <c r="D70" s="138" t="s">
        <v>1000</v>
      </c>
      <c r="E70" s="137"/>
      <c r="G70" s="42"/>
      <c r="H70" s="42"/>
      <c r="I70" s="42"/>
      <c r="J70" s="42"/>
      <c r="K70" s="42"/>
      <c r="L70" s="42"/>
      <c r="M70" s="42"/>
    </row>
    <row r="71">
      <c r="A71" s="136">
        <v>45667.0</v>
      </c>
      <c r="B71" s="113" t="s">
        <v>25</v>
      </c>
      <c r="C71" s="137">
        <v>3.51</v>
      </c>
      <c r="D71" s="138" t="s">
        <v>1001</v>
      </c>
      <c r="E71" s="137"/>
      <c r="G71" s="42"/>
      <c r="H71" s="42"/>
      <c r="I71" s="42"/>
      <c r="J71" s="42"/>
      <c r="K71" s="42"/>
      <c r="L71" s="42"/>
      <c r="M71" s="42"/>
    </row>
    <row r="72">
      <c r="A72" s="136">
        <v>45687.0</v>
      </c>
      <c r="B72" s="113" t="s">
        <v>25</v>
      </c>
      <c r="C72" s="137">
        <v>2.93</v>
      </c>
      <c r="D72" s="138" t="s">
        <v>1002</v>
      </c>
      <c r="E72" s="137"/>
      <c r="G72" s="42"/>
      <c r="H72" s="42"/>
      <c r="I72" s="42"/>
      <c r="J72" s="42"/>
      <c r="K72" s="42"/>
      <c r="L72" s="42"/>
      <c r="M72" s="42"/>
    </row>
    <row r="73">
      <c r="A73" s="136">
        <v>45660.0</v>
      </c>
      <c r="B73" s="113" t="s">
        <v>19</v>
      </c>
      <c r="C73" s="137">
        <v>1.58</v>
      </c>
      <c r="D73" s="138" t="s">
        <v>1003</v>
      </c>
      <c r="E73" s="137"/>
      <c r="G73" s="42"/>
      <c r="H73" s="42"/>
      <c r="I73" s="42"/>
      <c r="J73" s="42"/>
      <c r="K73" s="42"/>
      <c r="L73" s="42"/>
      <c r="M73" s="42"/>
    </row>
    <row r="74">
      <c r="A74" s="136">
        <v>45664.0</v>
      </c>
      <c r="B74" s="113" t="s">
        <v>25</v>
      </c>
      <c r="C74" s="137">
        <v>1.53</v>
      </c>
      <c r="D74" s="138" t="s">
        <v>1002</v>
      </c>
      <c r="E74" s="137"/>
      <c r="G74" s="42"/>
      <c r="H74" s="42"/>
      <c r="I74" s="42"/>
      <c r="J74" s="42"/>
      <c r="K74" s="42"/>
      <c r="L74" s="42"/>
      <c r="M74" s="42"/>
    </row>
    <row r="75">
      <c r="A75" s="136">
        <v>45686.0</v>
      </c>
      <c r="B75" s="144" t="s">
        <v>25</v>
      </c>
      <c r="C75" s="137">
        <v>0.41</v>
      </c>
      <c r="D75" s="138" t="s">
        <v>1002</v>
      </c>
      <c r="E75" s="137"/>
      <c r="G75" s="42"/>
      <c r="H75" s="42"/>
      <c r="I75" s="42"/>
      <c r="J75" s="42"/>
      <c r="K75" s="42"/>
      <c r="L75" s="42"/>
      <c r="M75" s="42"/>
    </row>
    <row r="76">
      <c r="A76" s="139">
        <v>45661.0</v>
      </c>
      <c r="B76" s="144" t="s">
        <v>19</v>
      </c>
      <c r="C76" s="141">
        <v>1.25</v>
      </c>
      <c r="D76" s="163" t="s">
        <v>910</v>
      </c>
      <c r="E76" s="164"/>
      <c r="G76" s="42"/>
      <c r="H76" s="42"/>
      <c r="I76" s="42"/>
      <c r="J76" s="42"/>
      <c r="K76" s="42"/>
      <c r="L76" s="42"/>
      <c r="M76" s="42"/>
    </row>
    <row r="77">
      <c r="A77" s="139">
        <v>45661.0</v>
      </c>
      <c r="B77" s="144" t="s">
        <v>19</v>
      </c>
      <c r="C77" s="141">
        <v>1.25</v>
      </c>
      <c r="D77" s="163" t="s">
        <v>910</v>
      </c>
      <c r="E77" s="107"/>
      <c r="G77" s="42"/>
      <c r="H77" s="42"/>
      <c r="I77" s="42"/>
      <c r="J77" s="42"/>
      <c r="K77" s="42"/>
      <c r="L77" s="42"/>
      <c r="M77" s="42"/>
    </row>
    <row r="78">
      <c r="A78" s="139">
        <v>45661.0</v>
      </c>
      <c r="B78" s="144" t="s">
        <v>19</v>
      </c>
      <c r="C78" s="141">
        <v>1.25</v>
      </c>
      <c r="D78" s="163" t="s">
        <v>910</v>
      </c>
      <c r="E78" s="107"/>
      <c r="G78" s="42"/>
      <c r="H78" s="42"/>
      <c r="I78" s="42"/>
      <c r="J78" s="42"/>
      <c r="K78" s="42"/>
      <c r="L78" s="42"/>
      <c r="M78" s="42"/>
    </row>
    <row r="79">
      <c r="A79" s="139">
        <v>45668.0</v>
      </c>
      <c r="B79" s="144" t="s">
        <v>19</v>
      </c>
      <c r="C79" s="141">
        <v>1.25</v>
      </c>
      <c r="D79" s="163" t="s">
        <v>910</v>
      </c>
      <c r="E79" s="107"/>
      <c r="G79" s="42"/>
      <c r="H79" s="42"/>
      <c r="I79" s="42"/>
      <c r="J79" s="42"/>
      <c r="K79" s="42"/>
      <c r="L79" s="42"/>
      <c r="M79" s="42"/>
    </row>
    <row r="80">
      <c r="A80" s="139">
        <v>45668.0</v>
      </c>
      <c r="B80" s="144" t="s">
        <v>19</v>
      </c>
      <c r="C80" s="141">
        <v>1.25</v>
      </c>
      <c r="D80" s="163" t="s">
        <v>910</v>
      </c>
      <c r="E80" s="107"/>
      <c r="G80" s="42"/>
      <c r="H80" s="42"/>
      <c r="I80" s="42"/>
      <c r="J80" s="42"/>
      <c r="K80" s="42"/>
      <c r="L80" s="42"/>
      <c r="M80" s="42"/>
    </row>
    <row r="81">
      <c r="A81" s="139">
        <v>45668.0</v>
      </c>
      <c r="B81" s="144" t="s">
        <v>19</v>
      </c>
      <c r="C81" s="141">
        <v>1.25</v>
      </c>
      <c r="D81" s="163" t="s">
        <v>910</v>
      </c>
      <c r="E81" s="107"/>
      <c r="G81" s="42"/>
      <c r="H81" s="42"/>
      <c r="I81" s="42"/>
      <c r="J81" s="42"/>
      <c r="K81" s="42"/>
      <c r="L81" s="42"/>
      <c r="M81" s="42"/>
    </row>
    <row r="82">
      <c r="A82" s="110">
        <v>45668.0</v>
      </c>
      <c r="B82" s="113" t="s">
        <v>19</v>
      </c>
      <c r="C82" s="112">
        <v>1.25</v>
      </c>
      <c r="D82" s="90" t="s">
        <v>910</v>
      </c>
      <c r="E82" s="107"/>
      <c r="G82" s="42"/>
      <c r="H82" s="42"/>
      <c r="I82" s="42"/>
      <c r="J82" s="42"/>
      <c r="K82" s="42"/>
      <c r="L82" s="42"/>
      <c r="M82" s="42"/>
    </row>
    <row r="83">
      <c r="A83" s="165">
        <v>45668.0</v>
      </c>
      <c r="B83" s="113" t="s">
        <v>19</v>
      </c>
      <c r="C83" s="166">
        <v>1.25</v>
      </c>
      <c r="D83" s="111" t="s">
        <v>910</v>
      </c>
      <c r="E83" s="107"/>
      <c r="G83" s="42"/>
      <c r="H83" s="42"/>
      <c r="I83" s="42"/>
      <c r="J83" s="42"/>
      <c r="K83" s="42"/>
      <c r="L83" s="42"/>
      <c r="M83" s="42"/>
    </row>
    <row r="84">
      <c r="A84" s="110">
        <v>45677.0</v>
      </c>
      <c r="B84" s="105" t="s">
        <v>19</v>
      </c>
      <c r="C84" s="112">
        <v>1.25</v>
      </c>
      <c r="D84" s="90" t="s">
        <v>910</v>
      </c>
      <c r="E84" s="107"/>
      <c r="G84" s="42"/>
      <c r="H84" s="42"/>
      <c r="I84" s="42"/>
      <c r="J84" s="42"/>
      <c r="K84" s="42"/>
      <c r="L84" s="42"/>
      <c r="M84" s="42"/>
    </row>
    <row r="85">
      <c r="A85" s="110">
        <v>45677.0</v>
      </c>
      <c r="B85" s="105" t="s">
        <v>19</v>
      </c>
      <c r="C85" s="112">
        <v>1.25</v>
      </c>
      <c r="D85" s="90" t="s">
        <v>910</v>
      </c>
      <c r="E85" s="107"/>
      <c r="G85" s="42"/>
      <c r="H85" s="42"/>
      <c r="I85" s="42"/>
      <c r="J85" s="42"/>
      <c r="K85" s="42"/>
      <c r="L85" s="42"/>
      <c r="M85" s="42"/>
    </row>
    <row r="86">
      <c r="A86" s="110">
        <v>45677.0</v>
      </c>
      <c r="B86" s="105" t="s">
        <v>19</v>
      </c>
      <c r="C86" s="112">
        <v>1.25</v>
      </c>
      <c r="D86" s="90" t="s">
        <v>910</v>
      </c>
      <c r="E86" s="107"/>
      <c r="G86" s="42"/>
      <c r="H86" s="42"/>
      <c r="I86" s="42"/>
      <c r="J86" s="42"/>
      <c r="K86" s="42"/>
      <c r="L86" s="42"/>
      <c r="M86" s="42"/>
    </row>
    <row r="87">
      <c r="A87" s="110">
        <v>45680.0</v>
      </c>
      <c r="B87" s="105" t="s">
        <v>79</v>
      </c>
      <c r="C87" s="112">
        <v>2.4</v>
      </c>
      <c r="D87" s="90" t="s">
        <v>1004</v>
      </c>
      <c r="E87" s="107"/>
      <c r="G87" s="42"/>
      <c r="H87" s="42"/>
      <c r="I87" s="42"/>
      <c r="J87" s="42"/>
      <c r="K87" s="42"/>
      <c r="L87" s="42"/>
      <c r="M87" s="42"/>
    </row>
    <row r="88">
      <c r="A88" s="110">
        <v>45680.0</v>
      </c>
      <c r="B88" s="106" t="s">
        <v>79</v>
      </c>
      <c r="C88" s="112">
        <v>2.4</v>
      </c>
      <c r="D88" s="90" t="s">
        <v>1004</v>
      </c>
      <c r="E88" s="107"/>
      <c r="G88" s="42"/>
      <c r="H88" s="42"/>
      <c r="I88" s="42"/>
      <c r="J88" s="42"/>
      <c r="K88" s="42"/>
      <c r="L88" s="42"/>
      <c r="M88" s="42"/>
    </row>
    <row r="89">
      <c r="A89" s="110">
        <v>45671.0</v>
      </c>
      <c r="B89" s="106" t="s">
        <v>17</v>
      </c>
      <c r="C89" s="112">
        <v>3.85</v>
      </c>
      <c r="D89" s="90" t="s">
        <v>939</v>
      </c>
      <c r="E89" s="107"/>
      <c r="G89" s="42"/>
      <c r="H89" s="42"/>
      <c r="I89" s="42"/>
      <c r="J89" s="42"/>
      <c r="K89" s="42"/>
      <c r="L89" s="42"/>
      <c r="M89" s="42"/>
    </row>
    <row r="90">
      <c r="A90" s="110">
        <v>45682.0</v>
      </c>
      <c r="B90" s="105" t="s">
        <v>25</v>
      </c>
      <c r="C90" s="112">
        <v>4.2</v>
      </c>
      <c r="D90" s="90" t="s">
        <v>1005</v>
      </c>
      <c r="E90" s="107"/>
      <c r="G90" s="42"/>
      <c r="H90" s="42"/>
      <c r="I90" s="42"/>
      <c r="J90" s="42"/>
      <c r="K90" s="42"/>
      <c r="L90" s="42"/>
      <c r="M90" s="42"/>
    </row>
    <row r="91">
      <c r="A91" s="165">
        <v>45673.0</v>
      </c>
      <c r="B91" s="113" t="s">
        <v>19</v>
      </c>
      <c r="C91" s="166">
        <v>5.0</v>
      </c>
      <c r="D91" s="111" t="s">
        <v>1006</v>
      </c>
      <c r="E91" s="107"/>
      <c r="G91" s="42"/>
      <c r="H91" s="42"/>
      <c r="I91" s="42"/>
      <c r="J91" s="42"/>
      <c r="K91" s="42"/>
      <c r="L91" s="42"/>
      <c r="M91" s="42"/>
    </row>
    <row r="92">
      <c r="A92" s="110">
        <v>45686.0</v>
      </c>
      <c r="B92" s="105" t="s">
        <v>24</v>
      </c>
      <c r="C92" s="112">
        <v>5.21</v>
      </c>
      <c r="D92" s="90" t="s">
        <v>1007</v>
      </c>
      <c r="E92" s="107"/>
      <c r="G92" s="42"/>
      <c r="H92" s="42"/>
      <c r="I92" s="42"/>
      <c r="J92" s="42"/>
      <c r="K92" s="42"/>
      <c r="L92" s="42"/>
      <c r="M92" s="42"/>
    </row>
    <row r="93">
      <c r="A93" s="110">
        <v>45684.0</v>
      </c>
      <c r="B93" s="105" t="s">
        <v>17</v>
      </c>
      <c r="C93" s="112">
        <v>5.27</v>
      </c>
      <c r="D93" s="90" t="s">
        <v>1008</v>
      </c>
      <c r="E93" s="107"/>
      <c r="G93" s="42"/>
      <c r="H93" s="42"/>
      <c r="I93" s="42"/>
      <c r="J93" s="42"/>
      <c r="K93" s="42"/>
      <c r="L93" s="42"/>
      <c r="M93" s="42"/>
    </row>
    <row r="94">
      <c r="A94" s="110">
        <v>45664.0</v>
      </c>
      <c r="B94" s="113" t="s">
        <v>17</v>
      </c>
      <c r="C94" s="112">
        <v>5.36</v>
      </c>
      <c r="D94" s="90" t="s">
        <v>939</v>
      </c>
      <c r="E94" s="107"/>
      <c r="G94" s="42"/>
      <c r="H94" s="42"/>
      <c r="I94" s="42"/>
      <c r="J94" s="42"/>
      <c r="K94" s="42"/>
      <c r="L94" s="42"/>
      <c r="M94" s="42"/>
    </row>
    <row r="95">
      <c r="A95" s="110">
        <v>45665.0</v>
      </c>
      <c r="B95" s="113" t="s">
        <v>17</v>
      </c>
      <c r="C95" s="112">
        <v>5.36</v>
      </c>
      <c r="D95" s="90" t="s">
        <v>939</v>
      </c>
      <c r="E95" s="107"/>
      <c r="G95" s="42"/>
      <c r="H95" s="42"/>
      <c r="I95" s="42"/>
      <c r="J95" s="42"/>
      <c r="K95" s="42"/>
      <c r="L95" s="42"/>
      <c r="M95" s="42"/>
    </row>
    <row r="96">
      <c r="A96" s="110">
        <v>45666.0</v>
      </c>
      <c r="B96" s="113" t="s">
        <v>17</v>
      </c>
      <c r="C96" s="112">
        <v>5.36</v>
      </c>
      <c r="D96" s="90" t="s">
        <v>939</v>
      </c>
      <c r="E96" s="107">
        <v>-30.0</v>
      </c>
      <c r="G96" s="42"/>
      <c r="H96" s="42"/>
      <c r="I96" s="42"/>
      <c r="J96" s="42"/>
      <c r="K96" s="42"/>
      <c r="L96" s="42"/>
      <c r="M96" s="42"/>
    </row>
    <row r="97">
      <c r="A97" s="110">
        <v>45681.0</v>
      </c>
      <c r="B97" s="105" t="s">
        <v>79</v>
      </c>
      <c r="C97" s="112">
        <v>5.39</v>
      </c>
      <c r="D97" s="90" t="s">
        <v>1009</v>
      </c>
      <c r="E97" s="107">
        <v>-10.69</v>
      </c>
      <c r="G97" s="42"/>
      <c r="H97" s="42"/>
      <c r="I97" s="42"/>
      <c r="J97" s="42"/>
      <c r="K97" s="42"/>
      <c r="L97" s="42"/>
      <c r="M97" s="42"/>
    </row>
    <row r="98">
      <c r="A98" s="167">
        <v>45688.0</v>
      </c>
      <c r="B98" s="113" t="s">
        <v>25</v>
      </c>
      <c r="C98" s="112">
        <v>6.84</v>
      </c>
      <c r="D98" s="90" t="s">
        <v>1010</v>
      </c>
      <c r="E98" s="107">
        <v>-81.99</v>
      </c>
      <c r="G98" s="99"/>
      <c r="H98" s="42"/>
      <c r="I98" s="42"/>
      <c r="J98" s="42"/>
      <c r="K98" s="42"/>
      <c r="L98" s="42"/>
      <c r="M98" s="42"/>
    </row>
    <row r="99">
      <c r="A99" s="110">
        <v>45686.0</v>
      </c>
      <c r="B99" s="140" t="s">
        <v>17</v>
      </c>
      <c r="C99" s="112">
        <v>7.35</v>
      </c>
      <c r="D99" s="111" t="s">
        <v>1011</v>
      </c>
      <c r="E99" s="107">
        <v>-91.44</v>
      </c>
      <c r="G99" s="42"/>
      <c r="H99" s="42"/>
      <c r="I99" s="42"/>
      <c r="J99" s="42"/>
      <c r="K99" s="42"/>
      <c r="L99" s="42"/>
      <c r="M99" s="42"/>
    </row>
    <row r="100">
      <c r="A100" s="110">
        <v>45686.0</v>
      </c>
      <c r="B100" s="168" t="s">
        <v>25</v>
      </c>
      <c r="C100" s="112">
        <v>8.19</v>
      </c>
      <c r="D100" s="111" t="s">
        <v>1012</v>
      </c>
      <c r="E100" s="107">
        <v>-120.75</v>
      </c>
      <c r="G100" s="42"/>
      <c r="H100" s="42"/>
      <c r="I100" s="42"/>
      <c r="J100" s="42"/>
      <c r="K100" s="42"/>
      <c r="L100" s="42"/>
      <c r="M100" s="42"/>
    </row>
    <row r="101">
      <c r="A101" s="110">
        <v>45682.0</v>
      </c>
      <c r="B101" s="105" t="s">
        <v>25</v>
      </c>
      <c r="C101" s="112">
        <v>10.0</v>
      </c>
      <c r="D101" s="90" t="s">
        <v>426</v>
      </c>
      <c r="E101" s="107">
        <v>-1.75</v>
      </c>
      <c r="G101" s="42"/>
      <c r="H101" s="42"/>
      <c r="I101" s="42"/>
      <c r="J101" s="42"/>
      <c r="K101" s="42"/>
      <c r="L101" s="42"/>
      <c r="M101" s="42"/>
    </row>
    <row r="102">
      <c r="A102" s="148">
        <v>45672.0</v>
      </c>
      <c r="B102" s="113" t="s">
        <v>25</v>
      </c>
      <c r="C102" s="146">
        <v>10.65</v>
      </c>
      <c r="D102" s="147" t="s">
        <v>1013</v>
      </c>
      <c r="E102" s="107">
        <v>-1.25</v>
      </c>
      <c r="G102" s="42"/>
      <c r="H102" s="42"/>
      <c r="I102" s="42"/>
      <c r="J102" s="42"/>
      <c r="K102" s="42"/>
      <c r="L102" s="42"/>
      <c r="M102" s="42"/>
    </row>
    <row r="103">
      <c r="A103" s="110">
        <v>45675.0</v>
      </c>
      <c r="B103" s="113" t="s">
        <v>17</v>
      </c>
      <c r="C103" s="112">
        <v>11.09</v>
      </c>
      <c r="D103" s="90" t="s">
        <v>1014</v>
      </c>
      <c r="E103" s="107">
        <v>-1.25</v>
      </c>
      <c r="G103" s="42"/>
      <c r="H103" s="42"/>
      <c r="I103" s="42"/>
      <c r="J103" s="42"/>
      <c r="K103" s="42"/>
      <c r="L103" s="42"/>
      <c r="M103" s="42"/>
    </row>
    <row r="104">
      <c r="A104" s="110">
        <v>45658.0</v>
      </c>
      <c r="B104" s="113" t="s">
        <v>19</v>
      </c>
      <c r="C104" s="112">
        <v>13.28</v>
      </c>
      <c r="D104" s="90" t="s">
        <v>1015</v>
      </c>
      <c r="E104" s="107">
        <v>-9.6</v>
      </c>
      <c r="G104" s="42"/>
      <c r="H104" s="42"/>
      <c r="I104" s="42"/>
      <c r="J104" s="42"/>
      <c r="K104" s="42"/>
      <c r="L104" s="42"/>
      <c r="M104" s="42"/>
    </row>
    <row r="105">
      <c r="A105" s="110">
        <v>45674.0</v>
      </c>
      <c r="B105" s="113" t="s">
        <v>17</v>
      </c>
      <c r="C105" s="112">
        <v>14.98</v>
      </c>
      <c r="D105" s="90" t="s">
        <v>868</v>
      </c>
      <c r="E105" s="107">
        <v>-1.25</v>
      </c>
      <c r="G105" s="42"/>
      <c r="H105" s="42"/>
      <c r="I105" s="42"/>
      <c r="J105" s="42"/>
      <c r="K105" s="42"/>
      <c r="L105" s="42"/>
      <c r="M105" s="42"/>
    </row>
    <row r="106">
      <c r="A106" s="110">
        <v>45686.0</v>
      </c>
      <c r="B106" s="140" t="s">
        <v>17</v>
      </c>
      <c r="C106" s="112">
        <v>16.27</v>
      </c>
      <c r="D106" s="111" t="s">
        <v>1016</v>
      </c>
      <c r="E106" s="107">
        <v>-2.9</v>
      </c>
      <c r="G106" s="42"/>
      <c r="H106" s="42"/>
      <c r="I106" s="42"/>
      <c r="J106" s="42"/>
      <c r="K106" s="42"/>
      <c r="L106" s="42"/>
      <c r="M106" s="42"/>
    </row>
    <row r="107">
      <c r="A107" s="110">
        <v>45687.0</v>
      </c>
      <c r="B107" s="113" t="s">
        <v>25</v>
      </c>
      <c r="C107" s="112">
        <v>16.6</v>
      </c>
      <c r="D107" s="111" t="s">
        <v>1010</v>
      </c>
      <c r="E107" s="107">
        <v>-30.0</v>
      </c>
      <c r="G107" s="42"/>
      <c r="H107" s="42"/>
      <c r="I107" s="42"/>
      <c r="J107" s="42"/>
      <c r="K107" s="42"/>
      <c r="L107" s="42"/>
      <c r="M107" s="42"/>
    </row>
    <row r="108">
      <c r="A108" s="110">
        <v>45682.0</v>
      </c>
      <c r="B108" s="106" t="s">
        <v>17</v>
      </c>
      <c r="C108" s="112">
        <v>17.36</v>
      </c>
      <c r="D108" s="90" t="s">
        <v>1017</v>
      </c>
      <c r="E108" s="107">
        <v>-2.9</v>
      </c>
      <c r="G108" s="42"/>
      <c r="H108" s="42"/>
      <c r="I108" s="42"/>
      <c r="J108" s="42"/>
      <c r="K108" s="42"/>
      <c r="L108" s="42"/>
      <c r="M108" s="42"/>
    </row>
    <row r="109">
      <c r="A109" s="110">
        <v>45686.0</v>
      </c>
      <c r="B109" s="113" t="s">
        <v>19</v>
      </c>
      <c r="C109" s="112">
        <v>19.85</v>
      </c>
      <c r="D109" s="90" t="s">
        <v>1018</v>
      </c>
      <c r="E109" s="107">
        <v>-2.75</v>
      </c>
      <c r="G109" s="42"/>
      <c r="H109" s="42"/>
      <c r="I109" s="42"/>
      <c r="J109" s="42"/>
      <c r="K109" s="42"/>
      <c r="L109" s="42"/>
      <c r="M109" s="42"/>
    </row>
    <row r="110">
      <c r="A110" s="110">
        <v>45682.0</v>
      </c>
      <c r="B110" s="106" t="s">
        <v>17</v>
      </c>
      <c r="C110" s="112">
        <v>25.48</v>
      </c>
      <c r="D110" s="90" t="s">
        <v>1019</v>
      </c>
      <c r="E110" s="107">
        <v>-2.75</v>
      </c>
      <c r="G110" s="42"/>
      <c r="H110" s="42"/>
      <c r="I110" s="42"/>
      <c r="J110" s="42"/>
      <c r="K110" s="42"/>
      <c r="L110" s="42"/>
      <c r="M110" s="42"/>
    </row>
    <row r="111">
      <c r="A111" s="110">
        <v>45677.0</v>
      </c>
      <c r="B111" s="105" t="s">
        <v>17</v>
      </c>
      <c r="C111" s="112">
        <v>29.21</v>
      </c>
      <c r="D111" s="90" t="s">
        <v>1020</v>
      </c>
      <c r="E111" s="107">
        <v>-13.25</v>
      </c>
      <c r="G111" s="42"/>
      <c r="H111" s="42"/>
      <c r="I111" s="42"/>
      <c r="J111" s="42"/>
      <c r="K111" s="42"/>
      <c r="L111" s="42"/>
      <c r="M111" s="42"/>
    </row>
    <row r="112">
      <c r="A112" s="110">
        <v>45675.0</v>
      </c>
      <c r="B112" s="113" t="s">
        <v>17</v>
      </c>
      <c r="C112" s="112">
        <v>31.07</v>
      </c>
      <c r="D112" s="90" t="s">
        <v>1021</v>
      </c>
      <c r="E112" s="107">
        <v>-51.99</v>
      </c>
      <c r="G112" s="42"/>
      <c r="H112" s="42"/>
      <c r="I112" s="42"/>
      <c r="J112" s="42"/>
      <c r="K112" s="42"/>
      <c r="L112" s="42"/>
      <c r="M112" s="42"/>
    </row>
    <row r="113">
      <c r="A113" s="110">
        <v>45687.0</v>
      </c>
      <c r="B113" s="105" t="s">
        <v>14</v>
      </c>
      <c r="C113" s="112">
        <v>35.05</v>
      </c>
      <c r="D113" s="90" t="s">
        <v>1022</v>
      </c>
      <c r="E113" s="107">
        <v>-31.03</v>
      </c>
      <c r="G113" s="42"/>
      <c r="H113" s="42"/>
      <c r="I113" s="42"/>
      <c r="J113" s="42"/>
      <c r="K113" s="42"/>
      <c r="L113" s="42"/>
      <c r="M113" s="42"/>
    </row>
    <row r="114">
      <c r="A114" s="110">
        <v>45673.0</v>
      </c>
      <c r="B114" s="113" t="s">
        <v>17</v>
      </c>
      <c r="C114" s="112">
        <v>44.52</v>
      </c>
      <c r="D114" s="90" t="s">
        <v>1023</v>
      </c>
      <c r="E114" s="107">
        <v>-53.58</v>
      </c>
      <c r="G114" s="42"/>
      <c r="H114" s="42"/>
      <c r="I114" s="42"/>
      <c r="J114" s="42"/>
      <c r="K114" s="42"/>
      <c r="L114" s="42"/>
      <c r="M114" s="42"/>
    </row>
    <row r="115">
      <c r="A115" s="110">
        <v>45675.0</v>
      </c>
      <c r="B115" s="113" t="s">
        <v>15</v>
      </c>
      <c r="C115" s="112">
        <v>46.76</v>
      </c>
      <c r="D115" s="90" t="s">
        <v>942</v>
      </c>
      <c r="E115" s="107">
        <v>-1.5</v>
      </c>
      <c r="G115" s="42"/>
      <c r="H115" s="42"/>
      <c r="I115" s="42"/>
      <c r="J115" s="42"/>
      <c r="K115" s="42"/>
      <c r="L115" s="42"/>
      <c r="M115" s="42"/>
    </row>
    <row r="116">
      <c r="A116" s="110">
        <v>45663.0</v>
      </c>
      <c r="B116" s="113" t="s">
        <v>19</v>
      </c>
      <c r="C116" s="112">
        <v>48.2</v>
      </c>
      <c r="D116" s="90" t="s">
        <v>1024</v>
      </c>
      <c r="E116" s="107">
        <v>-12.84</v>
      </c>
      <c r="G116" s="42"/>
      <c r="H116" s="42"/>
      <c r="I116" s="42"/>
      <c r="J116" s="42"/>
      <c r="K116" s="42"/>
      <c r="L116" s="42"/>
      <c r="M116" s="42"/>
    </row>
    <row r="117">
      <c r="A117" s="110">
        <v>45686.0</v>
      </c>
      <c r="B117" s="113" t="s">
        <v>19</v>
      </c>
      <c r="C117" s="112">
        <v>48.67</v>
      </c>
      <c r="D117" s="90" t="s">
        <v>1018</v>
      </c>
      <c r="E117" s="107">
        <v>-2.4</v>
      </c>
      <c r="G117" s="42"/>
      <c r="H117" s="42"/>
      <c r="I117" s="42"/>
      <c r="J117" s="42"/>
      <c r="K117" s="42"/>
      <c r="L117" s="42"/>
      <c r="M117" s="42"/>
    </row>
    <row r="118">
      <c r="A118" s="110">
        <v>45682.0</v>
      </c>
      <c r="B118" s="119" t="s">
        <v>17</v>
      </c>
      <c r="C118" s="112">
        <v>48.75</v>
      </c>
      <c r="D118" s="90" t="s">
        <v>1019</v>
      </c>
      <c r="E118" s="107">
        <v>-1.25</v>
      </c>
      <c r="G118" s="42"/>
      <c r="H118" s="42"/>
      <c r="I118" s="42"/>
      <c r="J118" s="42"/>
      <c r="K118" s="42"/>
      <c r="L118" s="42"/>
      <c r="M118" s="42"/>
    </row>
    <row r="119">
      <c r="A119" s="110">
        <v>45686.0</v>
      </c>
      <c r="B119" s="140" t="s">
        <v>25</v>
      </c>
      <c r="C119" s="112">
        <v>55.22</v>
      </c>
      <c r="D119" s="111" t="s">
        <v>1025</v>
      </c>
      <c r="E119" s="107">
        <v>-25.95</v>
      </c>
      <c r="G119" s="42"/>
      <c r="H119" s="42"/>
      <c r="I119" s="42"/>
      <c r="J119" s="42"/>
      <c r="K119" s="42"/>
      <c r="L119" s="42"/>
      <c r="M119" s="42"/>
    </row>
    <row r="120">
      <c r="A120" s="110">
        <v>45664.0</v>
      </c>
      <c r="B120" s="144" t="s">
        <v>22</v>
      </c>
      <c r="C120" s="112">
        <v>62.57</v>
      </c>
      <c r="D120" s="90" t="s">
        <v>1026</v>
      </c>
      <c r="E120" s="107">
        <v>-1.25</v>
      </c>
      <c r="G120" s="42"/>
      <c r="H120" s="42"/>
      <c r="I120" s="42"/>
      <c r="J120" s="42"/>
      <c r="K120" s="42"/>
      <c r="L120" s="42"/>
      <c r="M120" s="42"/>
    </row>
    <row r="121">
      <c r="A121" s="110">
        <v>45665.0</v>
      </c>
      <c r="B121" s="113" t="s">
        <v>17</v>
      </c>
      <c r="C121" s="112">
        <v>82.08</v>
      </c>
      <c r="D121" s="90" t="s">
        <v>1027</v>
      </c>
      <c r="E121" s="107">
        <v>-3.95</v>
      </c>
      <c r="G121" s="42"/>
      <c r="H121" s="42"/>
      <c r="I121" s="42"/>
      <c r="J121" s="42"/>
      <c r="K121" s="42"/>
      <c r="L121" s="42"/>
      <c r="M121" s="42"/>
    </row>
    <row r="122">
      <c r="A122" s="165">
        <v>45670.0</v>
      </c>
      <c r="B122" s="144" t="s">
        <v>17</v>
      </c>
      <c r="C122" s="166">
        <v>86.0</v>
      </c>
      <c r="D122" s="111" t="s">
        <v>896</v>
      </c>
      <c r="E122" s="107">
        <v>-1.25</v>
      </c>
      <c r="G122" s="42"/>
      <c r="H122" s="42"/>
      <c r="I122" s="42"/>
      <c r="J122" s="42"/>
      <c r="K122" s="42"/>
      <c r="L122" s="42"/>
      <c r="M122" s="42"/>
    </row>
    <row r="123">
      <c r="A123" s="110">
        <v>45683.0</v>
      </c>
      <c r="B123" s="144" t="s">
        <v>25</v>
      </c>
      <c r="C123" s="112">
        <v>101.73</v>
      </c>
      <c r="D123" s="90" t="s">
        <v>1028</v>
      </c>
      <c r="E123" s="107">
        <v>-55.88</v>
      </c>
      <c r="G123" s="42"/>
      <c r="H123" s="42"/>
      <c r="I123" s="42"/>
      <c r="J123" s="42"/>
      <c r="K123" s="42"/>
      <c r="L123" s="42"/>
      <c r="M123" s="42"/>
    </row>
    <row r="124">
      <c r="A124" s="110">
        <v>45686.0</v>
      </c>
      <c r="B124" s="144" t="s">
        <v>19</v>
      </c>
      <c r="C124" s="112">
        <v>104.95</v>
      </c>
      <c r="D124" s="90" t="s">
        <v>1018</v>
      </c>
      <c r="E124" s="107">
        <v>-25.02</v>
      </c>
      <c r="G124" s="42"/>
      <c r="H124" s="42"/>
      <c r="I124" s="42"/>
      <c r="J124" s="42"/>
      <c r="K124" s="42"/>
      <c r="L124" s="42"/>
      <c r="M124" s="42"/>
    </row>
    <row r="125">
      <c r="A125" s="148">
        <v>45681.0</v>
      </c>
      <c r="B125" s="113" t="s">
        <v>17</v>
      </c>
      <c r="C125" s="150">
        <f>52.8+4.33+103.33</f>
        <v>160.46</v>
      </c>
      <c r="D125" s="147" t="s">
        <v>1029</v>
      </c>
      <c r="E125" s="107">
        <v>-81.2</v>
      </c>
      <c r="G125" s="42"/>
      <c r="H125" s="42"/>
      <c r="I125" s="42"/>
      <c r="J125" s="42"/>
      <c r="K125" s="42"/>
      <c r="L125" s="42"/>
      <c r="M125" s="42"/>
    </row>
    <row r="126">
      <c r="A126" s="110">
        <v>45685.0</v>
      </c>
      <c r="B126" s="144" t="s">
        <v>25</v>
      </c>
      <c r="C126" s="112">
        <v>176.99</v>
      </c>
      <c r="D126" s="90" t="s">
        <v>1030</v>
      </c>
      <c r="E126" s="107"/>
      <c r="G126" s="42"/>
      <c r="H126" s="42"/>
      <c r="I126" s="42"/>
      <c r="J126" s="42"/>
      <c r="K126" s="42"/>
      <c r="L126" s="42"/>
      <c r="M126" s="42"/>
    </row>
    <row r="127">
      <c r="A127" s="110">
        <v>45668.0</v>
      </c>
      <c r="B127" s="144" t="s">
        <v>25</v>
      </c>
      <c r="C127" s="112">
        <v>330.0</v>
      </c>
      <c r="D127" s="90" t="s">
        <v>1031</v>
      </c>
      <c r="E127" s="107"/>
      <c r="G127" s="42"/>
      <c r="H127" s="42"/>
      <c r="I127" s="42"/>
      <c r="J127" s="42"/>
      <c r="K127" s="42"/>
      <c r="L127" s="42"/>
      <c r="M127" s="42"/>
    </row>
    <row r="128">
      <c r="A128" s="169"/>
      <c r="B128" s="169"/>
      <c r="C128" s="169"/>
      <c r="D128" s="169"/>
    </row>
    <row r="129">
      <c r="A129" s="169"/>
      <c r="B129" s="169"/>
      <c r="C129" s="169"/>
      <c r="D129" s="169"/>
    </row>
    <row r="130">
      <c r="A130" s="169"/>
      <c r="B130" s="169"/>
      <c r="C130" s="169"/>
      <c r="D130" s="169"/>
    </row>
    <row r="131">
      <c r="A131" s="169"/>
      <c r="B131" s="169"/>
      <c r="C131" s="169"/>
      <c r="D131" s="169"/>
    </row>
    <row r="132">
      <c r="A132" s="169"/>
      <c r="B132" s="169"/>
      <c r="C132" s="169"/>
      <c r="D132" s="169"/>
    </row>
    <row r="133">
      <c r="A133" s="169"/>
      <c r="B133" s="169"/>
      <c r="C133" s="169"/>
      <c r="D133" s="169"/>
    </row>
    <row r="134">
      <c r="A134" s="169"/>
      <c r="B134" s="169"/>
      <c r="C134" s="169"/>
      <c r="D134" s="169"/>
    </row>
    <row r="135">
      <c r="A135" s="169"/>
      <c r="B135" s="169"/>
      <c r="C135" s="169"/>
      <c r="D135" s="169"/>
    </row>
    <row r="136">
      <c r="A136" s="169"/>
      <c r="B136" s="169"/>
      <c r="C136" s="169"/>
      <c r="D136" s="169"/>
    </row>
    <row r="137">
      <c r="A137" s="169"/>
      <c r="B137" s="169"/>
      <c r="C137" s="169"/>
      <c r="D137" s="169"/>
    </row>
    <row r="138">
      <c r="A138" s="169"/>
      <c r="B138" s="169"/>
      <c r="C138" s="169"/>
      <c r="D138" s="169"/>
    </row>
    <row r="139">
      <c r="A139" s="169"/>
      <c r="B139" s="169"/>
      <c r="C139" s="169"/>
      <c r="D139" s="169"/>
    </row>
    <row r="140">
      <c r="A140" s="169"/>
      <c r="B140" s="169"/>
      <c r="C140" s="169"/>
      <c r="D140" s="169"/>
    </row>
    <row r="141">
      <c r="A141" s="169"/>
      <c r="B141" s="169"/>
      <c r="C141" s="169"/>
      <c r="D141" s="169"/>
    </row>
    <row r="142">
      <c r="A142" s="169"/>
      <c r="B142" s="169"/>
      <c r="C142" s="169"/>
      <c r="D142" s="169"/>
    </row>
    <row r="143">
      <c r="A143" s="169"/>
      <c r="B143" s="169"/>
      <c r="C143" s="169"/>
      <c r="D143" s="169"/>
    </row>
    <row r="144">
      <c r="A144" s="169"/>
      <c r="B144" s="169"/>
      <c r="C144" s="169"/>
      <c r="D144" s="169"/>
    </row>
    <row r="145">
      <c r="A145" s="169"/>
      <c r="B145" s="169"/>
      <c r="C145" s="169"/>
      <c r="D145" s="169"/>
    </row>
    <row r="146">
      <c r="A146" s="169"/>
      <c r="B146" s="169"/>
      <c r="C146" s="169"/>
      <c r="D146" s="169"/>
    </row>
    <row r="147">
      <c r="A147" s="169"/>
      <c r="B147" s="169"/>
      <c r="C147" s="169"/>
      <c r="D147" s="169"/>
    </row>
    <row r="148">
      <c r="A148" s="169"/>
      <c r="B148" s="169"/>
      <c r="C148" s="169"/>
      <c r="D148" s="169"/>
    </row>
    <row r="149">
      <c r="A149" s="169"/>
      <c r="B149" s="169"/>
      <c r="C149" s="169"/>
      <c r="D149" s="169"/>
    </row>
    <row r="150">
      <c r="A150" s="169"/>
      <c r="B150" s="169"/>
      <c r="C150" s="169"/>
      <c r="D150" s="169"/>
    </row>
    <row r="151">
      <c r="A151" s="169"/>
      <c r="B151" s="169"/>
      <c r="C151" s="169"/>
      <c r="D151" s="169"/>
    </row>
    <row r="152">
      <c r="A152" s="169"/>
      <c r="B152" s="169"/>
      <c r="C152" s="169"/>
      <c r="D152" s="169"/>
    </row>
    <row r="153">
      <c r="A153" s="169"/>
      <c r="B153" s="169"/>
      <c r="C153" s="169"/>
      <c r="D153" s="169"/>
    </row>
    <row r="154">
      <c r="A154" s="169"/>
      <c r="B154" s="169"/>
      <c r="C154" s="169"/>
      <c r="D154" s="169"/>
    </row>
    <row r="155">
      <c r="A155" s="169"/>
      <c r="B155" s="169"/>
      <c r="C155" s="169"/>
      <c r="D155" s="169"/>
    </row>
    <row r="156">
      <c r="A156" s="169"/>
      <c r="B156" s="169"/>
      <c r="C156" s="169"/>
      <c r="D156" s="169"/>
    </row>
    <row r="157">
      <c r="A157" s="169"/>
      <c r="B157" s="169"/>
      <c r="C157" s="169"/>
      <c r="D157" s="169"/>
    </row>
    <row r="158">
      <c r="A158" s="169"/>
      <c r="B158" s="169"/>
      <c r="C158" s="169"/>
      <c r="D158" s="169"/>
    </row>
    <row r="159">
      <c r="A159" s="169"/>
      <c r="B159" s="169"/>
      <c r="C159" s="169"/>
      <c r="D159" s="169"/>
    </row>
    <row r="160">
      <c r="A160" s="169"/>
      <c r="B160" s="169"/>
      <c r="C160" s="169"/>
      <c r="D160" s="169"/>
    </row>
    <row r="161">
      <c r="A161" s="169"/>
      <c r="B161" s="169"/>
      <c r="C161" s="169"/>
      <c r="D161" s="169"/>
    </row>
    <row r="162">
      <c r="A162" s="170"/>
      <c r="B162" s="105"/>
      <c r="C162" s="124"/>
      <c r="D162" s="108"/>
      <c r="E162" s="107"/>
      <c r="G162" s="42"/>
      <c r="H162" s="42"/>
      <c r="I162" s="42"/>
      <c r="J162" s="42"/>
      <c r="K162" s="42"/>
      <c r="L162" s="42"/>
      <c r="M162" s="42"/>
    </row>
    <row r="163">
      <c r="A163" s="171"/>
      <c r="B163" s="111"/>
      <c r="C163" s="112"/>
      <c r="D163" s="111"/>
      <c r="E163" s="107"/>
      <c r="G163" s="42"/>
      <c r="H163" s="42"/>
      <c r="I163" s="42"/>
      <c r="J163" s="42"/>
      <c r="K163" s="42"/>
      <c r="L163" s="42"/>
      <c r="M163" s="42"/>
    </row>
    <row r="164">
      <c r="A164" s="170"/>
      <c r="B164" s="105"/>
      <c r="C164" s="124"/>
      <c r="D164" s="108"/>
      <c r="E164" s="107"/>
      <c r="G164" s="42"/>
      <c r="H164" s="42"/>
      <c r="I164" s="42"/>
      <c r="J164" s="42"/>
      <c r="K164" s="42"/>
      <c r="L164" s="42"/>
      <c r="M164" s="42"/>
    </row>
    <row r="165">
      <c r="A165" s="171"/>
      <c r="B165" s="111"/>
      <c r="C165" s="112"/>
      <c r="D165" s="111"/>
      <c r="E165" s="107"/>
      <c r="G165" s="42"/>
      <c r="H165" s="42"/>
      <c r="I165" s="42"/>
      <c r="J165" s="42"/>
      <c r="K165" s="42"/>
      <c r="L165" s="42"/>
      <c r="M165" s="42"/>
    </row>
    <row r="166">
      <c r="A166" s="170"/>
      <c r="B166" s="105"/>
      <c r="C166" s="124"/>
      <c r="D166" s="108"/>
      <c r="E166" s="107"/>
      <c r="G166" s="42"/>
      <c r="H166" s="42"/>
      <c r="I166" s="42"/>
      <c r="J166" s="42"/>
      <c r="K166" s="42"/>
      <c r="L166" s="42"/>
      <c r="M166" s="42"/>
    </row>
    <row r="167">
      <c r="A167" s="110"/>
      <c r="B167" s="111"/>
      <c r="C167" s="112"/>
      <c r="D167" s="111"/>
      <c r="E167" s="107"/>
      <c r="G167" s="42"/>
      <c r="H167" s="42"/>
      <c r="I167" s="42"/>
      <c r="J167" s="42"/>
      <c r="K167" s="42"/>
      <c r="L167" s="42"/>
      <c r="M167" s="42"/>
    </row>
    <row r="168">
      <c r="A168" s="170"/>
      <c r="B168" s="105"/>
      <c r="C168" s="124"/>
      <c r="D168" s="108"/>
      <c r="E168" s="107"/>
      <c r="G168" s="42"/>
      <c r="H168" s="42"/>
      <c r="I168" s="42"/>
      <c r="J168" s="42"/>
      <c r="K168" s="42"/>
      <c r="L168" s="42"/>
      <c r="M168" s="42"/>
    </row>
    <row r="169">
      <c r="A169" s="170"/>
      <c r="B169" s="106"/>
      <c r="C169" s="124"/>
      <c r="D169" s="108"/>
      <c r="E169" s="107"/>
      <c r="G169" s="42"/>
      <c r="H169" s="42"/>
      <c r="I169" s="42"/>
      <c r="J169" s="42"/>
      <c r="K169" s="42"/>
      <c r="L169" s="42"/>
      <c r="M169" s="42"/>
    </row>
    <row r="170">
      <c r="A170" s="110"/>
      <c r="B170" s="111"/>
      <c r="C170" s="112"/>
      <c r="D170" s="111"/>
      <c r="E170" s="107"/>
      <c r="G170" s="42"/>
      <c r="H170" s="42"/>
      <c r="I170" s="42"/>
      <c r="J170" s="42"/>
      <c r="K170" s="42"/>
      <c r="L170" s="42"/>
      <c r="M170" s="42"/>
    </row>
    <row r="171">
      <c r="A171" s="170"/>
      <c r="B171" s="106"/>
      <c r="C171" s="124"/>
      <c r="D171" s="108"/>
      <c r="E171" s="107"/>
      <c r="G171" s="42"/>
      <c r="H171" s="42"/>
      <c r="I171" s="42"/>
      <c r="J171" s="42"/>
      <c r="K171" s="42"/>
      <c r="L171" s="42"/>
      <c r="M171" s="42"/>
    </row>
    <row r="172">
      <c r="A172" s="170"/>
      <c r="B172" s="106"/>
      <c r="C172" s="124"/>
      <c r="D172" s="108"/>
      <c r="E172" s="107"/>
      <c r="G172" s="42"/>
      <c r="H172" s="42"/>
      <c r="I172" s="42"/>
      <c r="J172" s="42"/>
      <c r="K172" s="42"/>
      <c r="L172" s="42"/>
      <c r="M172" s="42"/>
    </row>
    <row r="173">
      <c r="A173" s="171"/>
      <c r="B173" s="144"/>
      <c r="C173" s="129"/>
      <c r="D173" s="172"/>
      <c r="E173" s="107"/>
      <c r="G173" s="42"/>
      <c r="H173" s="42"/>
      <c r="I173" s="42"/>
      <c r="J173" s="42"/>
      <c r="K173" s="42"/>
      <c r="L173" s="42"/>
      <c r="M173" s="42"/>
    </row>
    <row r="174">
      <c r="A174" s="170"/>
      <c r="B174" s="173"/>
      <c r="C174" s="101"/>
      <c r="D174" s="101"/>
      <c r="E174" s="107"/>
      <c r="G174" s="42"/>
      <c r="H174" s="42"/>
      <c r="I174" s="42"/>
      <c r="J174" s="42"/>
      <c r="K174" s="42"/>
      <c r="L174" s="42"/>
      <c r="M174" s="42"/>
    </row>
    <row r="175">
      <c r="A175" s="110"/>
      <c r="B175" s="111"/>
      <c r="C175" s="112"/>
      <c r="D175" s="111"/>
      <c r="E175" s="107"/>
      <c r="G175" s="42"/>
      <c r="H175" s="42"/>
      <c r="I175" s="42"/>
      <c r="J175" s="42"/>
      <c r="K175" s="42"/>
      <c r="L175" s="42"/>
      <c r="M175" s="42"/>
    </row>
    <row r="176">
      <c r="A176" s="170"/>
      <c r="B176" s="173"/>
      <c r="C176" s="101"/>
      <c r="D176" s="101"/>
      <c r="E176" s="107"/>
      <c r="G176" s="42"/>
      <c r="H176" s="42"/>
      <c r="I176" s="42"/>
      <c r="J176" s="42"/>
      <c r="K176" s="42"/>
      <c r="L176" s="42"/>
      <c r="M176" s="42"/>
    </row>
    <row r="177">
      <c r="A177" s="110"/>
      <c r="B177" s="111"/>
      <c r="C177" s="112"/>
      <c r="D177" s="111"/>
      <c r="E177" s="107"/>
      <c r="G177" s="42"/>
      <c r="H177" s="42"/>
      <c r="I177" s="42"/>
      <c r="J177" s="42"/>
      <c r="K177" s="42"/>
      <c r="L177" s="42"/>
      <c r="M177" s="42"/>
    </row>
    <row r="178">
      <c r="A178" s="170"/>
      <c r="B178" s="173"/>
      <c r="C178" s="101"/>
      <c r="D178" s="101"/>
      <c r="E178" s="107"/>
      <c r="G178" s="42"/>
      <c r="H178" s="42"/>
      <c r="I178" s="42"/>
      <c r="J178" s="42"/>
      <c r="K178" s="42"/>
      <c r="L178" s="42"/>
      <c r="M178" s="42"/>
    </row>
    <row r="179">
      <c r="A179" s="170"/>
      <c r="B179" s="173"/>
      <c r="C179" s="101"/>
      <c r="D179" s="101"/>
      <c r="E179" s="107"/>
      <c r="G179" s="42"/>
      <c r="H179" s="42"/>
      <c r="I179" s="42"/>
      <c r="J179" s="42"/>
      <c r="K179" s="42"/>
      <c r="L179" s="42"/>
      <c r="M179" s="42"/>
    </row>
    <row r="180">
      <c r="A180" s="170"/>
      <c r="B180" s="173"/>
      <c r="C180" s="101"/>
      <c r="D180" s="101"/>
      <c r="E180" s="107"/>
      <c r="G180" s="42"/>
      <c r="H180" s="42"/>
      <c r="I180" s="42"/>
      <c r="J180" s="42"/>
      <c r="K180" s="42"/>
      <c r="L180" s="42"/>
      <c r="M180" s="42"/>
    </row>
    <row r="181">
      <c r="A181" s="110"/>
      <c r="B181" s="111"/>
      <c r="C181" s="112"/>
      <c r="D181" s="111"/>
      <c r="E181" s="107"/>
      <c r="G181" s="42"/>
      <c r="H181" s="42"/>
      <c r="I181" s="42"/>
      <c r="J181" s="42"/>
      <c r="K181" s="42"/>
      <c r="L181" s="42"/>
      <c r="M181" s="42"/>
    </row>
    <row r="182">
      <c r="A182" s="170"/>
      <c r="B182" s="173"/>
      <c r="C182" s="101"/>
      <c r="D182" s="101"/>
      <c r="E182" s="107"/>
      <c r="G182" s="42"/>
      <c r="H182" s="42"/>
      <c r="I182" s="42"/>
      <c r="J182" s="42"/>
      <c r="K182" s="42"/>
      <c r="L182" s="42"/>
      <c r="M182" s="42"/>
    </row>
    <row r="183">
      <c r="A183" s="170"/>
      <c r="B183" s="173"/>
      <c r="C183" s="101"/>
      <c r="D183" s="101"/>
      <c r="E183" s="107"/>
      <c r="G183" s="42"/>
      <c r="H183" s="42"/>
      <c r="I183" s="42"/>
      <c r="J183" s="42"/>
      <c r="K183" s="42"/>
      <c r="L183" s="42"/>
      <c r="M183" s="42"/>
    </row>
    <row r="184">
      <c r="A184" s="110"/>
      <c r="B184" s="111"/>
      <c r="C184" s="112"/>
      <c r="D184" s="111"/>
      <c r="E184" s="107"/>
      <c r="G184" s="42"/>
      <c r="H184" s="42"/>
      <c r="I184" s="42"/>
      <c r="J184" s="42"/>
      <c r="K184" s="42"/>
      <c r="L184" s="42"/>
      <c r="M184" s="42"/>
    </row>
    <row r="185">
      <c r="A185" s="110"/>
      <c r="B185" s="111"/>
      <c r="C185" s="112"/>
      <c r="D185" s="111"/>
      <c r="E185" s="107"/>
      <c r="G185" s="42"/>
      <c r="H185" s="42"/>
      <c r="I185" s="42"/>
      <c r="J185" s="42"/>
      <c r="K185" s="42"/>
      <c r="L185" s="42"/>
      <c r="M185" s="42"/>
    </row>
    <row r="186">
      <c r="A186" s="170"/>
      <c r="B186" s="106"/>
      <c r="C186" s="124"/>
      <c r="D186" s="101"/>
      <c r="E186" s="107"/>
      <c r="G186" s="42"/>
      <c r="H186" s="42"/>
      <c r="I186" s="42"/>
      <c r="J186" s="42"/>
      <c r="K186" s="42"/>
      <c r="L186" s="42"/>
      <c r="M186" s="42"/>
    </row>
    <row r="187">
      <c r="A187" s="170"/>
      <c r="B187" s="106"/>
      <c r="C187" s="124"/>
      <c r="D187" s="101"/>
      <c r="E187" s="107"/>
      <c r="G187" s="42"/>
      <c r="H187" s="42"/>
      <c r="I187" s="42"/>
      <c r="J187" s="42"/>
      <c r="K187" s="42"/>
      <c r="L187" s="42"/>
      <c r="M187" s="42"/>
    </row>
    <row r="188">
      <c r="A188" s="170"/>
      <c r="B188" s="106"/>
      <c r="C188" s="124"/>
      <c r="D188" s="101"/>
      <c r="E188" s="107"/>
      <c r="G188" s="42"/>
      <c r="H188" s="42"/>
      <c r="I188" s="42"/>
      <c r="J188" s="42"/>
      <c r="K188" s="42"/>
      <c r="L188" s="42"/>
      <c r="M188" s="42"/>
    </row>
    <row r="189">
      <c r="A189" s="170"/>
      <c r="B189" s="106"/>
      <c r="C189" s="124"/>
      <c r="D189" s="101"/>
      <c r="E189" s="107"/>
      <c r="G189" s="42"/>
      <c r="H189" s="42"/>
      <c r="I189" s="42"/>
      <c r="J189" s="42"/>
      <c r="K189" s="42"/>
      <c r="L189" s="42"/>
      <c r="M189" s="42"/>
    </row>
    <row r="190">
      <c r="A190" s="110"/>
      <c r="B190" s="111"/>
      <c r="C190" s="112"/>
      <c r="D190" s="111"/>
      <c r="E190" s="107"/>
      <c r="G190" s="42"/>
      <c r="H190" s="42"/>
      <c r="I190" s="42"/>
      <c r="J190" s="42"/>
      <c r="K190" s="42"/>
      <c r="L190" s="42"/>
      <c r="M190" s="42"/>
    </row>
    <row r="191">
      <c r="A191" s="110"/>
      <c r="B191" s="111"/>
      <c r="C191" s="112"/>
      <c r="D191" s="111"/>
      <c r="E191" s="107"/>
      <c r="G191" s="42"/>
      <c r="H191" s="42"/>
      <c r="I191" s="42"/>
      <c r="J191" s="42"/>
      <c r="K191" s="42"/>
      <c r="L191" s="42"/>
      <c r="M191" s="42"/>
    </row>
    <row r="192">
      <c r="A192" s="110"/>
      <c r="B192" s="111"/>
      <c r="C192" s="112"/>
      <c r="D192" s="111"/>
      <c r="E192" s="107"/>
      <c r="G192" s="42"/>
      <c r="H192" s="42"/>
      <c r="I192" s="42"/>
      <c r="J192" s="42"/>
      <c r="K192" s="42"/>
      <c r="L192" s="42"/>
      <c r="M192" s="42"/>
    </row>
    <row r="193">
      <c r="A193" s="148"/>
      <c r="B193" s="144"/>
      <c r="C193" s="146"/>
      <c r="D193" s="147"/>
      <c r="E193" s="107"/>
      <c r="G193" s="42"/>
      <c r="H193" s="42"/>
      <c r="I193" s="42"/>
      <c r="J193" s="42"/>
      <c r="K193" s="42"/>
      <c r="L193" s="42"/>
      <c r="M193" s="42"/>
    </row>
    <row r="194">
      <c r="A194" s="148"/>
      <c r="B194" s="144"/>
      <c r="C194" s="146"/>
      <c r="D194" s="147"/>
      <c r="E194" s="107"/>
      <c r="G194" s="42"/>
      <c r="H194" s="42"/>
      <c r="I194" s="42"/>
      <c r="J194" s="42"/>
      <c r="K194" s="42"/>
      <c r="L194" s="42"/>
      <c r="M194" s="42"/>
    </row>
    <row r="195">
      <c r="A195" s="110"/>
      <c r="B195" s="111"/>
      <c r="C195" s="112"/>
      <c r="D195" s="111"/>
      <c r="E195" s="107"/>
      <c r="G195" s="42"/>
      <c r="H195" s="42"/>
      <c r="I195" s="42"/>
      <c r="J195" s="42"/>
      <c r="K195" s="42"/>
      <c r="L195" s="42"/>
      <c r="M195" s="42"/>
    </row>
    <row r="196">
      <c r="A196" s="110"/>
      <c r="B196" s="111"/>
      <c r="C196" s="112"/>
      <c r="D196" s="111"/>
      <c r="E196" s="107"/>
      <c r="G196" s="42"/>
      <c r="H196" s="42"/>
      <c r="I196" s="42"/>
      <c r="J196" s="42"/>
      <c r="K196" s="42"/>
      <c r="L196" s="42"/>
      <c r="M196" s="42"/>
    </row>
    <row r="197">
      <c r="A197" s="171"/>
      <c r="B197" s="144"/>
      <c r="C197" s="129"/>
      <c r="D197" s="172"/>
      <c r="E197" s="107"/>
      <c r="G197" s="42"/>
      <c r="H197" s="42"/>
      <c r="I197" s="42"/>
      <c r="J197" s="42"/>
      <c r="K197" s="42"/>
      <c r="L197" s="42"/>
      <c r="M197" s="42"/>
    </row>
    <row r="198">
      <c r="A198" s="110"/>
      <c r="B198" s="111"/>
      <c r="C198" s="112"/>
      <c r="D198" s="111"/>
      <c r="E198" s="107"/>
      <c r="G198" s="42"/>
      <c r="H198" s="42"/>
      <c r="I198" s="42"/>
      <c r="J198" s="42"/>
      <c r="K198" s="42"/>
      <c r="L198" s="42"/>
      <c r="M198" s="42"/>
    </row>
    <row r="199">
      <c r="A199" s="149"/>
      <c r="B199" s="144"/>
      <c r="C199" s="150"/>
      <c r="D199" s="151"/>
      <c r="E199" s="107"/>
      <c r="G199" s="42"/>
      <c r="H199" s="42"/>
      <c r="I199" s="42"/>
      <c r="J199" s="42"/>
      <c r="K199" s="42"/>
      <c r="L199" s="42"/>
      <c r="M199" s="42"/>
    </row>
    <row r="200">
      <c r="A200" s="149"/>
      <c r="B200" s="144"/>
      <c r="C200" s="150"/>
      <c r="D200" s="151"/>
      <c r="E200" s="107"/>
      <c r="G200" s="42"/>
      <c r="H200" s="42"/>
      <c r="I200" s="42"/>
      <c r="J200" s="42"/>
      <c r="K200" s="42"/>
      <c r="L200" s="42"/>
      <c r="M200" s="42"/>
    </row>
    <row r="201">
      <c r="A201" s="110"/>
      <c r="B201" s="111"/>
      <c r="C201" s="112"/>
      <c r="D201" s="111"/>
      <c r="E201" s="107"/>
      <c r="G201" s="42"/>
      <c r="H201" s="42"/>
      <c r="I201" s="42"/>
      <c r="J201" s="42"/>
      <c r="K201" s="42"/>
      <c r="L201" s="42"/>
      <c r="M201" s="42"/>
    </row>
    <row r="202">
      <c r="A202" s="110"/>
      <c r="B202" s="111"/>
      <c r="C202" s="112"/>
      <c r="D202" s="111"/>
      <c r="E202" s="107"/>
      <c r="G202" s="42"/>
      <c r="H202" s="42"/>
      <c r="I202" s="42"/>
      <c r="J202" s="42"/>
      <c r="K202" s="42"/>
      <c r="L202" s="42"/>
      <c r="M202" s="42"/>
    </row>
    <row r="203">
      <c r="A203" s="110"/>
      <c r="B203" s="111"/>
      <c r="C203" s="112"/>
      <c r="D203" s="111"/>
      <c r="E203" s="107"/>
      <c r="G203" s="42"/>
      <c r="H203" s="42"/>
      <c r="I203" s="42"/>
      <c r="J203" s="42"/>
      <c r="K203" s="42"/>
      <c r="L203" s="42"/>
      <c r="M203" s="42"/>
    </row>
    <row r="204">
      <c r="A204" s="110"/>
      <c r="B204" s="111"/>
      <c r="C204" s="112"/>
      <c r="D204" s="111"/>
      <c r="E204" s="107"/>
      <c r="G204" s="42"/>
      <c r="H204" s="42"/>
      <c r="I204" s="42"/>
      <c r="J204" s="42"/>
      <c r="K204" s="42"/>
      <c r="L204" s="42"/>
      <c r="M204" s="42"/>
    </row>
    <row r="205">
      <c r="A205" s="110"/>
      <c r="B205" s="111"/>
      <c r="C205" s="112"/>
      <c r="D205" s="111"/>
      <c r="E205" s="107"/>
      <c r="G205" s="42"/>
      <c r="H205" s="42"/>
      <c r="I205" s="42"/>
      <c r="J205" s="42"/>
      <c r="K205" s="42"/>
      <c r="L205" s="42"/>
      <c r="M205" s="42"/>
    </row>
    <row r="206">
      <c r="A206" s="110"/>
      <c r="B206" s="111"/>
      <c r="C206" s="112"/>
      <c r="D206" s="111"/>
      <c r="E206" s="107"/>
      <c r="G206" s="42"/>
      <c r="H206" s="42"/>
      <c r="I206" s="42"/>
      <c r="J206" s="42"/>
      <c r="K206" s="42"/>
      <c r="L206" s="42"/>
      <c r="M206" s="42"/>
    </row>
    <row r="207">
      <c r="A207" s="149"/>
      <c r="B207" s="144"/>
      <c r="C207" s="150"/>
      <c r="D207" s="151"/>
      <c r="E207" s="107"/>
      <c r="G207" s="42"/>
      <c r="H207" s="42"/>
      <c r="I207" s="42"/>
      <c r="J207" s="42"/>
      <c r="K207" s="42"/>
      <c r="L207" s="42"/>
      <c r="M207" s="42"/>
    </row>
    <row r="208">
      <c r="A208" s="110"/>
      <c r="B208" s="111"/>
      <c r="C208" s="112"/>
      <c r="D208" s="111"/>
      <c r="E208" s="107"/>
      <c r="G208" s="42"/>
      <c r="H208" s="42"/>
      <c r="I208" s="42"/>
      <c r="J208" s="42"/>
      <c r="K208" s="42"/>
      <c r="L208" s="42"/>
      <c r="M208" s="42"/>
    </row>
    <row r="209">
      <c r="A209" s="110"/>
      <c r="B209" s="111"/>
      <c r="C209" s="112"/>
      <c r="D209" s="111"/>
      <c r="E209" s="107"/>
      <c r="G209" s="42"/>
      <c r="H209" s="42"/>
      <c r="I209" s="42"/>
      <c r="J209" s="42"/>
      <c r="K209" s="42"/>
      <c r="L209" s="42"/>
      <c r="M209" s="42"/>
    </row>
    <row r="210">
      <c r="A210" s="110"/>
      <c r="B210" s="111"/>
      <c r="C210" s="112"/>
      <c r="D210" s="111"/>
      <c r="E210" s="107"/>
      <c r="G210" s="42"/>
      <c r="H210" s="42"/>
      <c r="I210" s="42"/>
      <c r="J210" s="42"/>
      <c r="K210" s="42"/>
      <c r="L210" s="42"/>
      <c r="M210" s="42"/>
    </row>
    <row r="211">
      <c r="A211" s="110"/>
      <c r="B211" s="111"/>
      <c r="C211" s="112"/>
      <c r="D211" s="111"/>
      <c r="E211" s="107"/>
      <c r="G211" s="42"/>
      <c r="H211" s="42"/>
      <c r="I211" s="42"/>
      <c r="J211" s="42"/>
      <c r="K211" s="42"/>
      <c r="L211" s="42"/>
      <c r="M211" s="42"/>
    </row>
    <row r="212">
      <c r="A212" s="149"/>
      <c r="B212" s="144"/>
      <c r="C212" s="150"/>
      <c r="D212" s="151"/>
      <c r="E212" s="107"/>
      <c r="G212" s="42"/>
      <c r="H212" s="42"/>
      <c r="I212" s="42"/>
      <c r="J212" s="42"/>
      <c r="K212" s="42"/>
      <c r="L212" s="42"/>
      <c r="M212" s="42"/>
    </row>
    <row r="213">
      <c r="A213" s="139"/>
      <c r="B213" s="140"/>
      <c r="C213" s="141"/>
      <c r="D213" s="140"/>
      <c r="E213" s="107"/>
      <c r="G213" s="42"/>
      <c r="H213" s="42"/>
      <c r="I213" s="42"/>
      <c r="J213" s="42"/>
      <c r="K213" s="42"/>
      <c r="L213" s="42"/>
      <c r="M213" s="42"/>
    </row>
    <row r="214">
      <c r="A214" s="136"/>
      <c r="B214" s="113"/>
      <c r="C214" s="137"/>
      <c r="D214" s="138"/>
      <c r="E214" s="107"/>
      <c r="G214" s="42"/>
      <c r="H214" s="42"/>
      <c r="I214" s="42"/>
      <c r="J214" s="42"/>
      <c r="K214" s="42"/>
      <c r="L214" s="42"/>
      <c r="M214" s="42"/>
    </row>
    <row r="215">
      <c r="A215" s="139"/>
      <c r="B215" s="140"/>
      <c r="C215" s="141"/>
      <c r="D215" s="140"/>
      <c r="E215" s="107"/>
      <c r="G215" s="42"/>
      <c r="H215" s="42"/>
      <c r="I215" s="42"/>
      <c r="J215" s="42"/>
      <c r="K215" s="42"/>
      <c r="L215" s="42"/>
      <c r="M215" s="42"/>
    </row>
    <row r="216">
      <c r="A216" s="139"/>
      <c r="B216" s="140"/>
      <c r="C216" s="141"/>
      <c r="D216" s="140"/>
      <c r="E216" s="107"/>
      <c r="G216" s="42"/>
      <c r="H216" s="42"/>
      <c r="I216" s="42"/>
      <c r="J216" s="42"/>
      <c r="K216" s="42"/>
      <c r="L216" s="42"/>
      <c r="M216" s="42"/>
    </row>
    <row r="217">
      <c r="A217" s="139"/>
      <c r="B217" s="140"/>
      <c r="C217" s="141"/>
      <c r="D217" s="140"/>
      <c r="E217" s="107"/>
      <c r="G217" s="42"/>
      <c r="H217" s="42"/>
      <c r="I217" s="42"/>
      <c r="J217" s="42"/>
      <c r="K217" s="42"/>
      <c r="L217" s="42"/>
      <c r="M217" s="42"/>
    </row>
    <row r="218">
      <c r="A218" s="136"/>
      <c r="B218" s="113"/>
      <c r="C218" s="137"/>
      <c r="D218" s="138"/>
      <c r="E218" s="107"/>
      <c r="G218" s="42"/>
      <c r="H218" s="42"/>
      <c r="I218" s="42"/>
      <c r="J218" s="42"/>
      <c r="K218" s="42"/>
      <c r="L218" s="42"/>
      <c r="M218" s="42"/>
    </row>
    <row r="219">
      <c r="A219" s="170"/>
      <c r="B219" s="113"/>
      <c r="C219" s="124"/>
      <c r="D219" s="101"/>
      <c r="E219" s="107"/>
      <c r="G219" s="42"/>
      <c r="H219" s="42"/>
      <c r="I219" s="42"/>
      <c r="J219" s="42"/>
      <c r="K219" s="42"/>
      <c r="L219" s="42"/>
      <c r="M219" s="42"/>
    </row>
    <row r="220">
      <c r="A220" s="170"/>
      <c r="B220" s="113"/>
      <c r="C220" s="124"/>
      <c r="D220" s="101"/>
      <c r="E220" s="107"/>
      <c r="G220" s="42"/>
      <c r="H220" s="42"/>
      <c r="I220" s="42"/>
      <c r="J220" s="42"/>
      <c r="K220" s="42"/>
      <c r="L220" s="42"/>
      <c r="M220" s="42"/>
    </row>
    <row r="221">
      <c r="A221" s="170"/>
      <c r="B221" s="113"/>
      <c r="C221" s="124"/>
      <c r="D221" s="101"/>
      <c r="E221" s="107"/>
      <c r="G221" s="42"/>
      <c r="H221" s="42"/>
      <c r="I221" s="42"/>
      <c r="J221" s="42"/>
      <c r="K221" s="42"/>
      <c r="L221" s="42"/>
      <c r="M221" s="42"/>
    </row>
    <row r="222">
      <c r="A222" s="136"/>
      <c r="B222" s="113"/>
      <c r="C222" s="137"/>
      <c r="D222" s="138"/>
      <c r="E222" s="107"/>
      <c r="G222" s="42"/>
      <c r="H222" s="42"/>
      <c r="I222" s="42"/>
      <c r="J222" s="42"/>
      <c r="K222" s="42"/>
      <c r="L222" s="42"/>
      <c r="M222" s="42"/>
    </row>
    <row r="223">
      <c r="A223" s="136"/>
      <c r="B223" s="113"/>
      <c r="C223" s="137"/>
      <c r="D223" s="138"/>
      <c r="E223" s="107"/>
      <c r="G223" s="42"/>
      <c r="H223" s="42"/>
      <c r="I223" s="42"/>
      <c r="J223" s="42"/>
      <c r="K223" s="42"/>
      <c r="L223" s="42"/>
      <c r="M223" s="42"/>
    </row>
    <row r="224">
      <c r="A224" s="139"/>
      <c r="B224" s="140"/>
      <c r="C224" s="141"/>
      <c r="D224" s="140"/>
      <c r="E224" s="107"/>
      <c r="G224" s="42"/>
      <c r="H224" s="42"/>
      <c r="I224" s="42"/>
      <c r="J224" s="42"/>
      <c r="K224" s="42"/>
      <c r="L224" s="42"/>
      <c r="M224" s="42"/>
    </row>
    <row r="225">
      <c r="A225" s="139"/>
      <c r="B225" s="140"/>
      <c r="C225" s="141"/>
      <c r="D225" s="140"/>
      <c r="E225" s="107"/>
      <c r="G225" s="42"/>
      <c r="H225" s="42"/>
      <c r="I225" s="42"/>
      <c r="J225" s="42"/>
      <c r="K225" s="42"/>
      <c r="L225" s="42"/>
      <c r="M225" s="42"/>
    </row>
    <row r="226">
      <c r="A226" s="139"/>
      <c r="B226" s="140"/>
      <c r="C226" s="141"/>
      <c r="D226" s="140"/>
      <c r="E226" s="107"/>
      <c r="G226" s="42"/>
      <c r="H226" s="42"/>
      <c r="I226" s="42"/>
      <c r="J226" s="42"/>
      <c r="K226" s="42"/>
      <c r="L226" s="42"/>
      <c r="M226" s="42"/>
    </row>
    <row r="227">
      <c r="A227" s="139"/>
      <c r="B227" s="140"/>
      <c r="C227" s="141"/>
      <c r="D227" s="140"/>
      <c r="E227" s="107"/>
      <c r="G227" s="42"/>
      <c r="H227" s="42"/>
      <c r="I227" s="42"/>
      <c r="J227" s="42"/>
      <c r="K227" s="42"/>
      <c r="L227" s="42"/>
      <c r="M227" s="42"/>
    </row>
    <row r="228">
      <c r="A228" s="139"/>
      <c r="B228" s="140"/>
      <c r="C228" s="141"/>
      <c r="D228" s="140"/>
      <c r="E228" s="107"/>
      <c r="G228" s="42"/>
      <c r="H228" s="42"/>
      <c r="I228" s="42"/>
      <c r="J228" s="42"/>
      <c r="K228" s="42"/>
      <c r="L228" s="42"/>
      <c r="M228" s="42"/>
    </row>
    <row r="229">
      <c r="A229" s="139"/>
      <c r="B229" s="140"/>
      <c r="C229" s="141"/>
      <c r="D229" s="140"/>
      <c r="E229" s="107"/>
      <c r="G229" s="42"/>
      <c r="H229" s="42"/>
      <c r="I229" s="42"/>
      <c r="J229" s="42"/>
      <c r="K229" s="42"/>
      <c r="L229" s="42"/>
      <c r="M229" s="42"/>
    </row>
    <row r="230">
      <c r="A230" s="170"/>
      <c r="B230" s="113"/>
      <c r="C230" s="124"/>
      <c r="D230" s="101"/>
      <c r="E230" s="107"/>
      <c r="G230" s="42"/>
      <c r="H230" s="42"/>
      <c r="I230" s="42"/>
      <c r="J230" s="42"/>
      <c r="K230" s="42"/>
      <c r="L230" s="42"/>
      <c r="M230" s="42"/>
    </row>
    <row r="231">
      <c r="A231" s="170"/>
      <c r="B231" s="113"/>
      <c r="C231" s="124"/>
      <c r="D231" s="101"/>
      <c r="E231" s="107"/>
      <c r="G231" s="42"/>
      <c r="H231" s="42"/>
      <c r="I231" s="42"/>
      <c r="J231" s="42"/>
      <c r="K231" s="42"/>
      <c r="L231" s="42"/>
      <c r="M231" s="42"/>
    </row>
    <row r="232">
      <c r="A232" s="170"/>
      <c r="B232" s="113"/>
      <c r="C232" s="124"/>
      <c r="D232" s="101"/>
      <c r="E232" s="107"/>
      <c r="G232" s="42"/>
      <c r="H232" s="42"/>
      <c r="I232" s="42"/>
      <c r="J232" s="42"/>
      <c r="K232" s="42"/>
      <c r="L232" s="42"/>
      <c r="M232" s="42"/>
    </row>
    <row r="233">
      <c r="A233" s="139"/>
      <c r="B233" s="140"/>
      <c r="C233" s="141"/>
      <c r="D233" s="140"/>
      <c r="E233" s="107"/>
      <c r="G233" s="42"/>
      <c r="H233" s="42"/>
      <c r="I233" s="42"/>
      <c r="J233" s="42"/>
      <c r="K233" s="42"/>
      <c r="L233" s="42"/>
      <c r="M233" s="42"/>
    </row>
    <row r="234">
      <c r="A234" s="139"/>
      <c r="B234" s="140"/>
      <c r="C234" s="141"/>
      <c r="D234" s="140"/>
      <c r="E234" s="107"/>
      <c r="G234" s="42"/>
      <c r="H234" s="42"/>
      <c r="I234" s="42"/>
      <c r="J234" s="42"/>
      <c r="K234" s="42"/>
      <c r="L234" s="42"/>
      <c r="M234" s="42"/>
    </row>
    <row r="235">
      <c r="A235" s="139"/>
      <c r="B235" s="140"/>
      <c r="C235" s="141"/>
      <c r="D235" s="140"/>
      <c r="E235" s="107"/>
      <c r="G235" s="42"/>
      <c r="H235" s="42"/>
      <c r="I235" s="42"/>
      <c r="J235" s="42"/>
      <c r="K235" s="42"/>
      <c r="L235" s="42"/>
      <c r="M235" s="42"/>
    </row>
    <row r="236">
      <c r="A236" s="136"/>
      <c r="B236" s="113"/>
      <c r="C236" s="137"/>
      <c r="D236" s="138"/>
      <c r="E236" s="107"/>
      <c r="G236" s="42"/>
      <c r="H236" s="42"/>
      <c r="I236" s="42"/>
      <c r="J236" s="42"/>
      <c r="K236" s="42"/>
      <c r="L236" s="42"/>
      <c r="M236" s="42"/>
    </row>
    <row r="237">
      <c r="A237" s="136"/>
      <c r="B237" s="113"/>
      <c r="C237" s="137"/>
      <c r="D237" s="138"/>
      <c r="E237" s="107"/>
      <c r="G237" s="42"/>
      <c r="H237" s="42"/>
      <c r="I237" s="42"/>
      <c r="J237" s="42"/>
      <c r="K237" s="42"/>
      <c r="L237" s="42"/>
      <c r="M237" s="42"/>
    </row>
    <row r="238">
      <c r="A238" s="136"/>
      <c r="B238" s="113"/>
      <c r="C238" s="137"/>
      <c r="D238" s="138"/>
      <c r="E238" s="107"/>
      <c r="G238" s="42"/>
      <c r="H238" s="42"/>
      <c r="I238" s="42"/>
      <c r="J238" s="42"/>
      <c r="K238" s="42"/>
      <c r="L238" s="42"/>
      <c r="M238" s="42"/>
    </row>
    <row r="239">
      <c r="A239" s="169"/>
      <c r="B239" s="169"/>
      <c r="C239" s="169"/>
      <c r="D239" s="169"/>
      <c r="E239" s="107"/>
      <c r="G239" s="42"/>
      <c r="H239" s="42"/>
      <c r="I239" s="42"/>
      <c r="J239" s="42"/>
      <c r="K239" s="42"/>
      <c r="L239" s="42"/>
      <c r="M239" s="42"/>
    </row>
    <row r="240">
      <c r="A240" s="169"/>
      <c r="B240" s="169"/>
      <c r="C240" s="169"/>
      <c r="D240" s="169"/>
      <c r="E240" s="107"/>
      <c r="G240" s="42"/>
      <c r="H240" s="42"/>
      <c r="I240" s="42"/>
      <c r="J240" s="42"/>
      <c r="K240" s="42"/>
      <c r="L240" s="42"/>
      <c r="M240" s="42"/>
    </row>
    <row r="241">
      <c r="A241" s="169"/>
      <c r="B241" s="169"/>
      <c r="C241" s="169"/>
      <c r="D241" s="169"/>
      <c r="E241" s="107"/>
      <c r="G241" s="42"/>
      <c r="H241" s="42"/>
      <c r="I241" s="42"/>
      <c r="J241" s="42"/>
      <c r="K241" s="42"/>
      <c r="L241" s="42"/>
      <c r="M241" s="42"/>
    </row>
    <row r="242">
      <c r="A242" s="169"/>
      <c r="B242" s="169"/>
      <c r="C242" s="169"/>
      <c r="D242" s="169"/>
      <c r="E242" s="107"/>
      <c r="G242" s="42"/>
      <c r="H242" s="42"/>
      <c r="I242" s="42"/>
      <c r="J242" s="42"/>
      <c r="K242" s="42"/>
      <c r="L242" s="42"/>
      <c r="M242" s="42"/>
    </row>
    <row r="243">
      <c r="A243" s="169"/>
      <c r="B243" s="169"/>
      <c r="C243" s="169"/>
      <c r="D243" s="169"/>
      <c r="E243" s="107"/>
      <c r="G243" s="42"/>
      <c r="H243" s="42"/>
      <c r="I243" s="42"/>
      <c r="J243" s="42"/>
      <c r="K243" s="42"/>
      <c r="L243" s="42"/>
      <c r="M243" s="42"/>
    </row>
    <row r="244">
      <c r="A244" s="169"/>
      <c r="B244" s="169"/>
      <c r="C244" s="169"/>
      <c r="D244" s="169"/>
      <c r="E244" s="107"/>
      <c r="G244" s="42"/>
      <c r="H244" s="42"/>
      <c r="I244" s="42"/>
      <c r="J244" s="42"/>
      <c r="K244" s="42"/>
      <c r="L244" s="42"/>
      <c r="M244" s="42"/>
    </row>
    <row r="245">
      <c r="A245" s="169"/>
      <c r="B245" s="169"/>
      <c r="C245" s="169"/>
      <c r="D245" s="169"/>
      <c r="E245" s="107"/>
      <c r="G245" s="42"/>
      <c r="H245" s="42"/>
      <c r="I245" s="42"/>
      <c r="J245" s="42"/>
      <c r="K245" s="42"/>
      <c r="L245" s="42"/>
      <c r="M245" s="42"/>
    </row>
    <row r="246">
      <c r="A246" s="169"/>
      <c r="B246" s="169"/>
      <c r="C246" s="169"/>
      <c r="D246" s="169"/>
      <c r="E246" s="107"/>
      <c r="G246" s="42"/>
      <c r="H246" s="42"/>
      <c r="I246" s="42"/>
      <c r="J246" s="42"/>
      <c r="K246" s="42"/>
      <c r="L246" s="42"/>
      <c r="M246" s="42"/>
    </row>
    <row r="247">
      <c r="A247" s="169"/>
      <c r="B247" s="169"/>
      <c r="C247" s="169"/>
      <c r="D247" s="169"/>
      <c r="E247" s="107"/>
      <c r="G247" s="42"/>
      <c r="H247" s="42"/>
      <c r="I247" s="42"/>
      <c r="J247" s="42"/>
      <c r="K247" s="42"/>
      <c r="L247" s="42"/>
      <c r="M247" s="42"/>
    </row>
    <row r="248">
      <c r="A248" s="169"/>
      <c r="B248" s="169"/>
      <c r="C248" s="169"/>
      <c r="D248" s="169"/>
      <c r="E248" s="107"/>
      <c r="G248" s="42"/>
      <c r="H248" s="42"/>
      <c r="I248" s="42"/>
      <c r="J248" s="42"/>
      <c r="K248" s="42"/>
      <c r="L248" s="42"/>
      <c r="M248" s="42"/>
    </row>
    <row r="249">
      <c r="A249" s="169"/>
      <c r="B249" s="169"/>
      <c r="C249" s="169"/>
      <c r="D249" s="169"/>
      <c r="E249" s="132"/>
      <c r="G249" s="42"/>
      <c r="H249" s="42"/>
      <c r="I249" s="42"/>
      <c r="J249" s="42"/>
      <c r="K249" s="42"/>
      <c r="L249" s="42"/>
      <c r="M249" s="42"/>
    </row>
    <row r="250">
      <c r="A250" s="169"/>
      <c r="B250" s="169"/>
      <c r="C250" s="169"/>
      <c r="D250" s="169"/>
      <c r="E250" s="107"/>
      <c r="G250" s="42"/>
      <c r="H250" s="42"/>
      <c r="I250" s="42"/>
      <c r="J250" s="42"/>
      <c r="K250" s="42"/>
      <c r="L250" s="42"/>
      <c r="M250" s="42"/>
    </row>
    <row r="251">
      <c r="A251" s="169"/>
      <c r="B251" s="169"/>
      <c r="C251" s="169"/>
      <c r="D251" s="169"/>
      <c r="E251" s="107"/>
      <c r="G251" s="42"/>
      <c r="H251" s="42"/>
      <c r="I251" s="42"/>
      <c r="J251" s="42"/>
      <c r="K251" s="42"/>
      <c r="L251" s="42"/>
      <c r="M251" s="42"/>
    </row>
    <row r="252">
      <c r="A252" s="169"/>
      <c r="B252" s="169"/>
      <c r="C252" s="169"/>
      <c r="D252" s="169"/>
      <c r="E252" s="107"/>
      <c r="G252" s="42"/>
      <c r="H252" s="42"/>
      <c r="I252" s="42"/>
      <c r="J252" s="42"/>
      <c r="K252" s="42"/>
      <c r="L252" s="42"/>
      <c r="M252" s="42"/>
    </row>
    <row r="253">
      <c r="A253" s="169"/>
      <c r="B253" s="169"/>
      <c r="C253" s="169"/>
      <c r="D253" s="169"/>
      <c r="E253" s="107"/>
      <c r="G253" s="42"/>
      <c r="H253" s="42"/>
      <c r="I253" s="42"/>
      <c r="J253" s="42"/>
      <c r="K253" s="42"/>
      <c r="L253" s="42"/>
      <c r="M253" s="42"/>
    </row>
    <row r="254">
      <c r="A254" s="169"/>
      <c r="B254" s="169"/>
      <c r="C254" s="169"/>
      <c r="D254" s="169"/>
      <c r="E254" s="107"/>
      <c r="G254" s="42"/>
      <c r="H254" s="42"/>
      <c r="I254" s="42"/>
      <c r="J254" s="42"/>
      <c r="K254" s="42"/>
      <c r="L254" s="42"/>
      <c r="M254" s="42"/>
    </row>
    <row r="255">
      <c r="A255" s="169"/>
      <c r="B255" s="169"/>
      <c r="C255" s="169"/>
      <c r="D255" s="169"/>
      <c r="E255" s="107"/>
      <c r="G255" s="42"/>
      <c r="H255" s="42"/>
      <c r="I255" s="42"/>
      <c r="J255" s="42"/>
      <c r="K255" s="42"/>
      <c r="L255" s="42"/>
      <c r="M255" s="42"/>
    </row>
    <row r="256">
      <c r="A256" s="169"/>
      <c r="B256" s="169"/>
      <c r="C256" s="169"/>
      <c r="D256" s="169"/>
      <c r="E256" s="107"/>
      <c r="G256" s="42"/>
      <c r="H256" s="42"/>
      <c r="I256" s="42"/>
      <c r="J256" s="42"/>
      <c r="K256" s="42"/>
      <c r="L256" s="42"/>
      <c r="M256" s="42"/>
    </row>
    <row r="257">
      <c r="A257" s="169"/>
      <c r="B257" s="169"/>
      <c r="C257" s="169"/>
      <c r="D257" s="169"/>
      <c r="E257" s="107"/>
      <c r="G257" s="42"/>
      <c r="H257" s="42"/>
      <c r="I257" s="42"/>
      <c r="J257" s="42"/>
      <c r="K257" s="42"/>
      <c r="L257" s="42"/>
      <c r="M257" s="42"/>
    </row>
    <row r="258">
      <c r="A258" s="170"/>
      <c r="B258" s="113"/>
      <c r="C258" s="124"/>
      <c r="D258" s="101"/>
      <c r="E258" s="107"/>
      <c r="G258" s="42"/>
      <c r="H258" s="42"/>
      <c r="I258" s="42"/>
      <c r="J258" s="42"/>
      <c r="K258" s="42"/>
      <c r="L258" s="42"/>
      <c r="M258" s="42"/>
    </row>
    <row r="259">
      <c r="A259" s="170"/>
      <c r="B259" s="113"/>
      <c r="C259" s="124"/>
      <c r="D259" s="101"/>
      <c r="E259" s="107"/>
      <c r="G259" s="42"/>
      <c r="H259" s="42"/>
      <c r="I259" s="42"/>
      <c r="J259" s="42"/>
      <c r="K259" s="42"/>
      <c r="L259" s="42"/>
      <c r="M259" s="42"/>
    </row>
    <row r="260">
      <c r="A260" s="170"/>
      <c r="B260" s="113"/>
      <c r="C260" s="124"/>
      <c r="D260" s="101"/>
      <c r="E260" s="107"/>
      <c r="G260" s="42"/>
      <c r="H260" s="42"/>
      <c r="I260" s="42"/>
      <c r="J260" s="42"/>
      <c r="K260" s="42"/>
      <c r="L260" s="42"/>
      <c r="M260" s="42"/>
    </row>
    <row r="261">
      <c r="A261" s="170"/>
      <c r="B261" s="113"/>
      <c r="C261" s="124"/>
      <c r="D261" s="101"/>
      <c r="E261" s="107"/>
      <c r="G261" s="42"/>
      <c r="H261" s="42"/>
      <c r="I261" s="42"/>
      <c r="J261" s="42"/>
      <c r="K261" s="42"/>
      <c r="L261" s="42"/>
      <c r="M261" s="42"/>
    </row>
    <row r="262">
      <c r="A262" s="170"/>
      <c r="B262" s="113"/>
      <c r="C262" s="124"/>
      <c r="D262" s="101"/>
      <c r="E262" s="107"/>
      <c r="G262" s="42"/>
      <c r="H262" s="42"/>
      <c r="I262" s="42"/>
      <c r="J262" s="42"/>
      <c r="K262" s="42"/>
      <c r="L262" s="42"/>
      <c r="M262" s="42"/>
    </row>
    <row r="263">
      <c r="A263" s="170"/>
      <c r="B263" s="113"/>
      <c r="C263" s="124"/>
      <c r="D263" s="101"/>
      <c r="E263" s="107"/>
      <c r="G263" s="42"/>
      <c r="H263" s="42"/>
      <c r="I263" s="42"/>
      <c r="J263" s="42"/>
      <c r="K263" s="42"/>
      <c r="L263" s="42"/>
      <c r="M263" s="42"/>
    </row>
    <row r="264">
      <c r="A264" s="170"/>
      <c r="B264" s="113"/>
      <c r="C264" s="124"/>
      <c r="D264" s="101"/>
      <c r="E264" s="107"/>
      <c r="G264" s="42"/>
      <c r="H264" s="42"/>
      <c r="I264" s="42"/>
      <c r="J264" s="42"/>
      <c r="K264" s="42"/>
      <c r="L264" s="42"/>
      <c r="M264" s="42"/>
    </row>
    <row r="265">
      <c r="A265" s="170"/>
      <c r="B265" s="113"/>
      <c r="C265" s="124"/>
      <c r="D265" s="101"/>
      <c r="E265" s="107"/>
      <c r="G265" s="42"/>
      <c r="H265" s="42"/>
      <c r="I265" s="42"/>
      <c r="J265" s="42"/>
      <c r="K265" s="42"/>
      <c r="L265" s="42"/>
      <c r="M265" s="42"/>
    </row>
    <row r="266">
      <c r="A266" s="170"/>
      <c r="B266" s="113"/>
      <c r="C266" s="124"/>
      <c r="D266" s="101"/>
      <c r="E266" s="107"/>
      <c r="G266" s="42"/>
      <c r="H266" s="42"/>
      <c r="I266" s="42"/>
      <c r="J266" s="42"/>
      <c r="K266" s="42"/>
      <c r="L266" s="42"/>
      <c r="M266" s="42"/>
    </row>
    <row r="267">
      <c r="A267" s="170"/>
      <c r="B267" s="113"/>
      <c r="C267" s="124"/>
      <c r="D267" s="101"/>
      <c r="E267" s="107"/>
      <c r="G267" s="42"/>
      <c r="H267" s="42"/>
      <c r="I267" s="42"/>
      <c r="J267" s="42"/>
      <c r="K267" s="42"/>
      <c r="L267" s="42"/>
      <c r="M267" s="42"/>
    </row>
    <row r="268">
      <c r="A268" s="170"/>
      <c r="B268" s="113"/>
      <c r="C268" s="124"/>
      <c r="D268" s="101"/>
      <c r="E268" s="107"/>
      <c r="G268" s="42"/>
      <c r="H268" s="42"/>
      <c r="I268" s="42"/>
      <c r="J268" s="42"/>
      <c r="K268" s="42"/>
      <c r="L268" s="42"/>
      <c r="M268" s="42"/>
    </row>
    <row r="269">
      <c r="A269" s="170"/>
      <c r="B269" s="113"/>
      <c r="C269" s="124"/>
      <c r="D269" s="101"/>
      <c r="E269" s="107"/>
      <c r="G269" s="42"/>
      <c r="H269" s="42"/>
      <c r="I269" s="42"/>
      <c r="J269" s="42"/>
      <c r="K269" s="42"/>
      <c r="L269" s="42"/>
      <c r="M269" s="42"/>
    </row>
    <row r="270">
      <c r="A270" s="170"/>
      <c r="B270" s="113"/>
      <c r="C270" s="124"/>
      <c r="D270" s="101"/>
      <c r="E270" s="107"/>
      <c r="G270" s="42"/>
      <c r="H270" s="42"/>
      <c r="I270" s="42"/>
      <c r="J270" s="42"/>
      <c r="K270" s="42"/>
      <c r="L270" s="42"/>
      <c r="M270" s="42"/>
    </row>
    <row r="271">
      <c r="A271" s="170"/>
      <c r="B271" s="113"/>
      <c r="C271" s="124"/>
      <c r="D271" s="101"/>
      <c r="E271" s="107"/>
      <c r="G271" s="42"/>
      <c r="H271" s="42"/>
      <c r="I271" s="42"/>
      <c r="J271" s="42"/>
      <c r="K271" s="42"/>
      <c r="L271" s="42"/>
      <c r="M271" s="42"/>
    </row>
    <row r="272">
      <c r="A272" s="170"/>
      <c r="B272" s="113"/>
      <c r="C272" s="124"/>
      <c r="D272" s="101"/>
      <c r="E272" s="107"/>
      <c r="G272" s="42"/>
      <c r="H272" s="42"/>
      <c r="I272" s="42"/>
      <c r="J272" s="42"/>
      <c r="K272" s="42"/>
      <c r="L272" s="42"/>
      <c r="M272" s="42"/>
    </row>
    <row r="273">
      <c r="A273" s="170"/>
      <c r="B273" s="113"/>
      <c r="C273" s="124"/>
      <c r="D273" s="101"/>
      <c r="E273" s="107"/>
      <c r="G273" s="42"/>
      <c r="H273" s="42"/>
      <c r="I273" s="42"/>
      <c r="J273" s="42"/>
      <c r="K273" s="42"/>
      <c r="L273" s="42"/>
      <c r="M273" s="42"/>
    </row>
    <row r="274">
      <c r="A274" s="170"/>
      <c r="B274" s="113"/>
      <c r="C274" s="124"/>
      <c r="D274" s="101"/>
      <c r="E274" s="107"/>
      <c r="G274" s="42"/>
      <c r="H274" s="42"/>
      <c r="I274" s="42"/>
      <c r="J274" s="42"/>
      <c r="K274" s="42"/>
      <c r="L274" s="42"/>
      <c r="M274" s="42"/>
    </row>
  </sheetData>
  <autoFilter ref="$A$33:$D$127">
    <sortState ref="A33:D127">
      <sortCondition ref="C33:C127"/>
      <sortCondition ref="A33:A127"/>
    </sortState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9 D34 D44 D57 D59 D66 B32:B99 D99:D100 D106:D107 D119 B101:B127 D163 D165 D167 D170 D175 D177 D181 D184:D185 D190:D192 D195:D196 D198 D201:D206 D208:D211 D213 B162:B216 D215:D217 D224:D229 D233:D235 B218:B238 B258:B274">
      <formula1>'Hidden list and Figures'!$A$3:$A$15</formula1>
    </dataValidation>
    <dataValidation type="custom" allowBlank="1" showDropDown="1" showInputMessage="1" prompt="Select a date" sqref="A34:A48 A51 A53:A55 A57:A60 A62:A63 A65:A66 A68:A82 A84:A90 A92:A121 A123:A127 A162:A238 A258:A274">
      <formula1>OR(NOT(ISERROR(DATEVALUE(A34))), AND(ISNUMBER(A34), LEFT(CELL("format", A34))="D"))</formula1>
    </dataValidation>
    <dataValidation type="list" allowBlank="1" sqref="B217">
      <formula1>'Hidden list and Figures'!$A$3:$A$15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sumif($B$20:$C$562,A6,$C$20:$C$562)</f>
        <v>1732.69</v>
      </c>
      <c r="D6" s="17">
        <f t="shared" ref="D6:D16" si="2">B6-C6</f>
        <v>930.99</v>
      </c>
      <c r="E6" s="18">
        <f t="shared" ref="E6:E17" si="3">D6/B6</f>
        <v>0.3495127042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4200.0</v>
      </c>
    </row>
    <row r="8">
      <c r="A8" s="21" t="s">
        <v>14</v>
      </c>
      <c r="B8" s="22">
        <v>250.0</v>
      </c>
      <c r="C8" s="16">
        <f t="shared" si="1"/>
        <v>0</v>
      </c>
      <c r="D8" s="23">
        <f t="shared" si="2"/>
        <v>250</v>
      </c>
      <c r="E8" s="18">
        <f t="shared" si="3"/>
        <v>1</v>
      </c>
      <c r="G8" s="64" t="s">
        <v>27</v>
      </c>
      <c r="H8" s="92">
        <f>SUM(H6:H7)</f>
        <v>4200</v>
      </c>
    </row>
    <row r="9">
      <c r="A9" s="24" t="s">
        <v>15</v>
      </c>
      <c r="B9" s="22">
        <v>400.0</v>
      </c>
      <c r="C9" s="16">
        <f t="shared" si="1"/>
        <v>750.21</v>
      </c>
      <c r="D9" s="23">
        <f t="shared" si="2"/>
        <v>-350.21</v>
      </c>
      <c r="E9" s="18">
        <f t="shared" si="3"/>
        <v>-0.875525</v>
      </c>
    </row>
    <row r="10">
      <c r="A10" s="24" t="s">
        <v>17</v>
      </c>
      <c r="B10" s="22">
        <v>400.0</v>
      </c>
      <c r="C10" s="16">
        <f t="shared" si="1"/>
        <v>1233.69</v>
      </c>
      <c r="D10" s="23">
        <f t="shared" si="2"/>
        <v>-833.69</v>
      </c>
      <c r="E10" s="18">
        <f t="shared" si="3"/>
        <v>-2.084225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418.3</v>
      </c>
      <c r="D11" s="23">
        <f t="shared" si="2"/>
        <v>-218.3</v>
      </c>
      <c r="E11" s="18">
        <f t="shared" si="3"/>
        <v>-1.0915</v>
      </c>
      <c r="G11" s="19" t="s">
        <v>18</v>
      </c>
      <c r="H11" s="14">
        <f>sum(C17)</f>
        <v>4843.64</v>
      </c>
    </row>
    <row r="12">
      <c r="A12" s="24" t="s">
        <v>79</v>
      </c>
      <c r="B12" s="22">
        <v>500.0</v>
      </c>
      <c r="C12" s="16">
        <f t="shared" si="1"/>
        <v>459.39</v>
      </c>
      <c r="D12" s="23">
        <f t="shared" si="2"/>
        <v>40.61</v>
      </c>
      <c r="E12" s="18">
        <f t="shared" si="3"/>
        <v>0.08122</v>
      </c>
      <c r="H12" s="14"/>
    </row>
    <row r="13">
      <c r="A13" s="25" t="s">
        <v>22</v>
      </c>
      <c r="B13" s="22">
        <v>200.0</v>
      </c>
      <c r="C13" s="16">
        <f t="shared" si="1"/>
        <v>69.53</v>
      </c>
      <c r="D13" s="23">
        <f t="shared" si="2"/>
        <v>130.47</v>
      </c>
      <c r="E13" s="18">
        <f t="shared" si="3"/>
        <v>0.65235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80</v>
      </c>
      <c r="D14" s="23">
        <f t="shared" si="2"/>
        <v>-80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99.83</v>
      </c>
      <c r="D15" s="28">
        <f t="shared" si="2"/>
        <v>200.17</v>
      </c>
      <c r="E15" s="18">
        <f t="shared" si="3"/>
        <v>0.6672333333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SUMIF($B$20:$C$276,"Travel",$C$20:$C$276)</f>
        <v>459.39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4843.64</v>
      </c>
      <c r="D17" s="31">
        <f>SUM(D6:D15)</f>
        <v>70.04</v>
      </c>
      <c r="E17" s="18">
        <f t="shared" si="3"/>
        <v>0.01425408248</v>
      </c>
      <c r="F17" s="36"/>
      <c r="G17" s="13" t="s">
        <v>28</v>
      </c>
      <c r="H17" s="33">
        <f>500-SUMIF($B$20:$C$276,"Travel",$C$20:$C$276)+'April 2024'!H17</f>
        <v>543.85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/>
      <c r="B21" s="40"/>
      <c r="C21" s="41"/>
      <c r="D21" s="95"/>
      <c r="E21" s="41"/>
      <c r="G21" s="42"/>
      <c r="H21" s="42"/>
      <c r="I21" s="42"/>
      <c r="J21" s="42"/>
      <c r="K21" s="42"/>
      <c r="L21" s="42"/>
      <c r="M21" s="42"/>
    </row>
    <row r="22">
      <c r="A22" s="40"/>
      <c r="B22" s="40"/>
      <c r="C22" s="41"/>
      <c r="D22" s="95"/>
      <c r="E22" s="41"/>
      <c r="G22" s="42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87.0</v>
      </c>
      <c r="D23" s="95" t="s">
        <v>36</v>
      </c>
      <c r="E23" s="41"/>
      <c r="G23" s="42"/>
      <c r="H23" s="42"/>
      <c r="I23" s="42"/>
      <c r="J23" s="42"/>
      <c r="K23" s="42"/>
      <c r="L23" s="42"/>
      <c r="M23" s="42"/>
    </row>
    <row r="24">
      <c r="A24" s="40" t="s">
        <v>32</v>
      </c>
      <c r="B24" s="40" t="s">
        <v>10</v>
      </c>
      <c r="C24" s="102">
        <v>40.0</v>
      </c>
      <c r="D24" s="41" t="s">
        <v>23</v>
      </c>
      <c r="E24" s="41"/>
      <c r="G24" s="19" t="s">
        <v>750</v>
      </c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2.87</v>
      </c>
      <c r="D25" s="41" t="s">
        <v>39</v>
      </c>
      <c r="E25" s="41"/>
      <c r="F25" s="19" t="s">
        <v>751</v>
      </c>
      <c r="G25" s="42">
        <f>8.62+3758.03</f>
        <v>3766.65</v>
      </c>
      <c r="H25" s="40" t="s">
        <v>752</v>
      </c>
      <c r="I25" s="42"/>
      <c r="J25" s="40"/>
      <c r="K25" s="42"/>
      <c r="L25" s="42"/>
      <c r="M25" s="42"/>
    </row>
    <row r="26">
      <c r="A26" s="40" t="s">
        <v>32</v>
      </c>
      <c r="B26" s="40" t="s">
        <v>10</v>
      </c>
      <c r="C26" s="41">
        <v>2.99</v>
      </c>
      <c r="D26" s="41" t="s">
        <v>40</v>
      </c>
      <c r="E26" s="41"/>
      <c r="F26" s="19" t="s">
        <v>753</v>
      </c>
      <c r="G26" s="40">
        <v>0.0</v>
      </c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5.83</v>
      </c>
      <c r="D27" s="41" t="s">
        <v>41</v>
      </c>
      <c r="E27" s="41"/>
      <c r="F27" s="19" t="s">
        <v>754</v>
      </c>
      <c r="G27" s="40">
        <v>965.33</v>
      </c>
      <c r="H27" s="42"/>
      <c r="I27" s="42"/>
      <c r="J27" s="42"/>
      <c r="K27" s="42"/>
      <c r="L27" s="42"/>
      <c r="M27" s="42"/>
    </row>
    <row r="28">
      <c r="A28" s="40" t="s">
        <v>32</v>
      </c>
      <c r="B28" s="40" t="s">
        <v>10</v>
      </c>
      <c r="C28" s="41">
        <v>6.0</v>
      </c>
      <c r="D28" s="41" t="s">
        <v>83</v>
      </c>
      <c r="E28" s="41"/>
      <c r="F28" s="19" t="s">
        <v>755</v>
      </c>
      <c r="G28" s="42">
        <f>274.97+19.17+184.41+1077.59+1829.28</f>
        <v>3385.42</v>
      </c>
      <c r="H28" s="42"/>
      <c r="I28" s="42"/>
      <c r="J28" s="42"/>
      <c r="K28" s="42"/>
      <c r="L28" s="42"/>
      <c r="M28" s="42"/>
    </row>
    <row r="29">
      <c r="A29" s="40" t="s">
        <v>32</v>
      </c>
      <c r="B29" s="40" t="s">
        <v>10</v>
      </c>
      <c r="C29" s="41">
        <v>112.0</v>
      </c>
      <c r="D29" s="41" t="s">
        <v>42</v>
      </c>
      <c r="E29" s="41"/>
      <c r="F29" s="19" t="s">
        <v>756</v>
      </c>
      <c r="G29" s="42">
        <f>27.87</f>
        <v>27.87</v>
      </c>
      <c r="H29" s="40" t="s">
        <v>757</v>
      </c>
      <c r="I29" s="42"/>
      <c r="J29" s="42"/>
      <c r="K29" s="42"/>
      <c r="L29" s="42"/>
      <c r="M29" s="42"/>
    </row>
    <row r="30">
      <c r="E30" s="41"/>
      <c r="F30" s="19" t="s">
        <v>758</v>
      </c>
      <c r="G30" s="40">
        <v>1388.4</v>
      </c>
      <c r="H30" s="42"/>
      <c r="I30" s="42"/>
      <c r="J30" s="42"/>
      <c r="K30" s="42"/>
      <c r="L30" s="42"/>
      <c r="M30" s="42"/>
    </row>
    <row r="31">
      <c r="E31" s="41"/>
      <c r="F31" s="19" t="s">
        <v>759</v>
      </c>
      <c r="G31" s="42">
        <f>SUM(G25:G30)</f>
        <v>9533.67</v>
      </c>
      <c r="H31" s="42"/>
      <c r="I31" s="42"/>
      <c r="J31" s="42"/>
      <c r="K31" s="42"/>
      <c r="L31" s="42"/>
      <c r="M31" s="42"/>
    </row>
    <row r="32">
      <c r="A32" s="43"/>
      <c r="B32" s="40"/>
      <c r="C32" s="41"/>
      <c r="D32" s="41"/>
      <c r="E32" s="41"/>
      <c r="F32" s="19" t="s">
        <v>33</v>
      </c>
      <c r="G32" s="40">
        <v>2900.0</v>
      </c>
      <c r="H32" s="42"/>
      <c r="I32" s="42"/>
      <c r="J32" s="42"/>
      <c r="K32" s="42"/>
      <c r="L32" s="42"/>
      <c r="M32" s="42"/>
    </row>
    <row r="33">
      <c r="A33" s="44"/>
      <c r="B33" s="40"/>
      <c r="C33" s="41"/>
      <c r="D33" s="41"/>
      <c r="E33" s="41"/>
      <c r="G33" s="40">
        <v>8000.0</v>
      </c>
      <c r="H33" s="42"/>
      <c r="I33" s="42"/>
      <c r="J33" s="42"/>
      <c r="K33" s="42"/>
      <c r="L33" s="42"/>
      <c r="M33" s="42"/>
    </row>
    <row r="34">
      <c r="A34" s="174">
        <v>45695.0</v>
      </c>
      <c r="B34" s="175" t="s">
        <v>15</v>
      </c>
      <c r="C34" s="176">
        <f>633-85</f>
        <v>548</v>
      </c>
      <c r="D34" s="175" t="s">
        <v>47</v>
      </c>
      <c r="E34" s="137"/>
      <c r="G34" s="42"/>
      <c r="H34" s="42"/>
      <c r="I34" s="42"/>
      <c r="J34" s="42"/>
      <c r="K34" s="42"/>
      <c r="L34" s="42"/>
      <c r="M34" s="42"/>
    </row>
    <row r="35">
      <c r="A35" s="177">
        <v>45700.0</v>
      </c>
      <c r="B35" s="178" t="s">
        <v>79</v>
      </c>
      <c r="C35" s="179">
        <v>388.0</v>
      </c>
      <c r="D35" s="180" t="s">
        <v>1032</v>
      </c>
      <c r="E35" s="137"/>
      <c r="G35" s="42"/>
      <c r="H35" s="42"/>
      <c r="I35" s="42"/>
      <c r="J35" s="42"/>
      <c r="K35" s="42"/>
      <c r="L35" s="42"/>
      <c r="M35" s="42"/>
    </row>
    <row r="36">
      <c r="A36" s="177">
        <v>45692.0</v>
      </c>
      <c r="B36" s="178" t="s">
        <v>17</v>
      </c>
      <c r="C36" s="179">
        <v>349.81</v>
      </c>
      <c r="D36" s="180" t="s">
        <v>1033</v>
      </c>
      <c r="E36" s="137"/>
      <c r="G36" s="42"/>
      <c r="H36" s="42"/>
      <c r="I36" s="42"/>
      <c r="J36" s="42"/>
      <c r="K36" s="42"/>
      <c r="L36" s="42"/>
      <c r="M36" s="42"/>
    </row>
    <row r="37">
      <c r="A37" s="174">
        <v>45700.0</v>
      </c>
      <c r="B37" s="178" t="s">
        <v>19</v>
      </c>
      <c r="C37" s="176">
        <v>165.91</v>
      </c>
      <c r="D37" s="176" t="s">
        <v>1034</v>
      </c>
      <c r="E37" s="137"/>
      <c r="G37" s="42"/>
      <c r="H37" s="42"/>
      <c r="I37" s="42"/>
      <c r="J37" s="42"/>
      <c r="K37" s="42"/>
      <c r="L37" s="42"/>
      <c r="M37" s="42"/>
    </row>
    <row r="38">
      <c r="A38" s="177">
        <v>45701.0</v>
      </c>
      <c r="B38" s="175" t="s">
        <v>19</v>
      </c>
      <c r="C38" s="179">
        <v>132.75</v>
      </c>
      <c r="D38" s="178" t="s">
        <v>1035</v>
      </c>
      <c r="E38" s="137"/>
      <c r="G38" s="42"/>
      <c r="H38" s="42"/>
      <c r="I38" s="42"/>
      <c r="J38" s="42"/>
      <c r="K38" s="42"/>
      <c r="L38" s="42"/>
      <c r="M38" s="42"/>
    </row>
    <row r="39">
      <c r="A39" s="174">
        <v>45696.0</v>
      </c>
      <c r="B39" s="178" t="s">
        <v>17</v>
      </c>
      <c r="C39" s="176">
        <v>109.65</v>
      </c>
      <c r="D39" s="176" t="s">
        <v>897</v>
      </c>
      <c r="E39" s="137"/>
      <c r="G39" s="42"/>
      <c r="H39" s="42"/>
      <c r="I39" s="42"/>
      <c r="J39" s="42"/>
      <c r="K39" s="42"/>
      <c r="L39" s="42"/>
      <c r="M39" s="42"/>
    </row>
    <row r="40">
      <c r="A40" s="174">
        <v>45694.0</v>
      </c>
      <c r="B40" s="178" t="s">
        <v>17</v>
      </c>
      <c r="C40" s="176">
        <v>109.39</v>
      </c>
      <c r="D40" s="176" t="s">
        <v>896</v>
      </c>
      <c r="E40" s="137"/>
      <c r="G40" s="42"/>
      <c r="H40" s="42"/>
      <c r="I40" s="42"/>
      <c r="J40" s="42"/>
      <c r="K40" s="42"/>
      <c r="L40" s="42"/>
      <c r="M40" s="42"/>
    </row>
    <row r="41">
      <c r="A41" s="181" t="s">
        <v>1036</v>
      </c>
      <c r="B41" s="178" t="s">
        <v>15</v>
      </c>
      <c r="C41" s="182">
        <v>101.79</v>
      </c>
      <c r="D41" s="183" t="s">
        <v>57</v>
      </c>
      <c r="E41" s="137"/>
      <c r="G41" s="42"/>
      <c r="H41" s="42"/>
      <c r="I41" s="42"/>
      <c r="J41" s="42"/>
      <c r="K41" s="42"/>
      <c r="L41" s="42"/>
      <c r="M41" s="42"/>
    </row>
    <row r="42">
      <c r="A42" s="174">
        <v>45690.0</v>
      </c>
      <c r="B42" s="178" t="s">
        <v>17</v>
      </c>
      <c r="C42" s="176">
        <v>98.72</v>
      </c>
      <c r="D42" s="176" t="s">
        <v>1037</v>
      </c>
      <c r="E42" s="137"/>
      <c r="G42" s="42"/>
      <c r="H42" s="42"/>
      <c r="I42" s="42"/>
      <c r="J42" s="42"/>
      <c r="K42" s="42"/>
      <c r="L42" s="42"/>
      <c r="M42" s="42"/>
    </row>
    <row r="43">
      <c r="A43" s="177">
        <v>45689.0</v>
      </c>
      <c r="B43" s="178" t="s">
        <v>17</v>
      </c>
      <c r="C43" s="179">
        <v>97.02</v>
      </c>
      <c r="D43" s="180" t="s">
        <v>1038</v>
      </c>
      <c r="E43" s="137"/>
      <c r="G43" s="42"/>
      <c r="H43" s="42"/>
      <c r="I43" s="42"/>
      <c r="J43" s="42"/>
      <c r="K43" s="42"/>
      <c r="L43" s="42"/>
      <c r="M43" s="42"/>
    </row>
    <row r="44">
      <c r="A44" s="177">
        <v>45690.0</v>
      </c>
      <c r="B44" s="178" t="s">
        <v>79</v>
      </c>
      <c r="C44" s="179">
        <v>83.57</v>
      </c>
      <c r="D44" s="180" t="s">
        <v>1039</v>
      </c>
      <c r="E44" s="137"/>
      <c r="G44" s="42"/>
      <c r="H44" s="42"/>
      <c r="I44" s="42"/>
      <c r="J44" s="42"/>
      <c r="K44" s="42"/>
      <c r="L44" s="42"/>
      <c r="M44" s="42"/>
    </row>
    <row r="45">
      <c r="A45" s="174">
        <v>45701.0</v>
      </c>
      <c r="B45" s="178" t="s">
        <v>22</v>
      </c>
      <c r="C45" s="176">
        <v>67.13</v>
      </c>
      <c r="D45" s="176" t="s">
        <v>1040</v>
      </c>
      <c r="E45" s="164"/>
      <c r="G45" s="42"/>
      <c r="H45" s="42"/>
      <c r="I45" s="42"/>
      <c r="J45" s="42"/>
      <c r="K45" s="42"/>
      <c r="L45" s="42"/>
      <c r="M45" s="42"/>
    </row>
    <row r="46">
      <c r="A46" s="181">
        <v>45689.0</v>
      </c>
      <c r="B46" s="178" t="s">
        <v>25</v>
      </c>
      <c r="C46" s="182">
        <v>50.5</v>
      </c>
      <c r="D46" s="183" t="s">
        <v>1041</v>
      </c>
      <c r="E46" s="137"/>
      <c r="G46" s="42"/>
      <c r="H46" s="42"/>
      <c r="I46" s="42"/>
      <c r="J46" s="42"/>
      <c r="K46" s="42"/>
      <c r="L46" s="42"/>
      <c r="M46" s="42"/>
    </row>
    <row r="47">
      <c r="A47" s="177">
        <v>45690.0</v>
      </c>
      <c r="B47" s="178" t="s">
        <v>15</v>
      </c>
      <c r="C47" s="179">
        <v>46.8</v>
      </c>
      <c r="D47" s="180" t="s">
        <v>1042</v>
      </c>
      <c r="E47" s="137"/>
      <c r="G47" s="42"/>
      <c r="H47" s="42"/>
      <c r="I47" s="42"/>
      <c r="J47" s="42"/>
      <c r="K47" s="42"/>
      <c r="L47" s="42"/>
      <c r="M47" s="42"/>
    </row>
    <row r="48">
      <c r="A48" s="174">
        <v>45693.0</v>
      </c>
      <c r="B48" s="178" t="s">
        <v>24</v>
      </c>
      <c r="C48" s="176">
        <v>40.0</v>
      </c>
      <c r="D48" s="176" t="s">
        <v>1043</v>
      </c>
      <c r="E48" s="137"/>
      <c r="G48" s="42"/>
      <c r="H48" s="42"/>
      <c r="I48" s="42"/>
      <c r="J48" s="42"/>
      <c r="K48" s="42"/>
      <c r="L48" s="42"/>
      <c r="M48" s="42"/>
    </row>
    <row r="49">
      <c r="A49" s="174">
        <v>45700.0</v>
      </c>
      <c r="B49" s="178" t="s">
        <v>24</v>
      </c>
      <c r="C49" s="176">
        <v>40.0</v>
      </c>
      <c r="D49" s="176" t="s">
        <v>1043</v>
      </c>
      <c r="E49" s="137"/>
      <c r="G49" s="42"/>
      <c r="H49" s="42"/>
      <c r="I49" s="42"/>
      <c r="J49" s="42"/>
      <c r="K49" s="42"/>
      <c r="L49" s="42"/>
      <c r="M49" s="42"/>
    </row>
    <row r="50">
      <c r="A50" s="177">
        <v>45697.0</v>
      </c>
      <c r="B50" s="184" t="s">
        <v>15</v>
      </c>
      <c r="C50" s="179">
        <v>38.37</v>
      </c>
      <c r="D50" s="180" t="s">
        <v>1044</v>
      </c>
      <c r="E50" s="137"/>
      <c r="G50" s="42"/>
      <c r="H50" s="42"/>
      <c r="I50" s="42"/>
      <c r="J50" s="42"/>
      <c r="K50" s="42"/>
      <c r="L50" s="42"/>
      <c r="M50" s="42"/>
    </row>
    <row r="51">
      <c r="A51" s="177">
        <v>45699.0</v>
      </c>
      <c r="B51" s="184" t="s">
        <v>25</v>
      </c>
      <c r="C51" s="179">
        <v>33.23</v>
      </c>
      <c r="D51" s="180" t="s">
        <v>1045</v>
      </c>
      <c r="E51" s="137"/>
      <c r="G51" s="42"/>
      <c r="H51" s="42"/>
      <c r="I51" s="42"/>
      <c r="J51" s="42"/>
      <c r="K51" s="42"/>
      <c r="L51" s="42"/>
      <c r="M51" s="42"/>
    </row>
    <row r="52">
      <c r="A52" s="185">
        <v>45703.0</v>
      </c>
      <c r="B52" s="184" t="s">
        <v>17</v>
      </c>
      <c r="C52" s="182">
        <v>31.38</v>
      </c>
      <c r="D52" s="183" t="s">
        <v>1046</v>
      </c>
      <c r="E52" s="107"/>
      <c r="G52" s="42"/>
      <c r="H52" s="42"/>
      <c r="I52" s="42"/>
      <c r="J52" s="42"/>
      <c r="K52" s="42"/>
      <c r="L52" s="42"/>
      <c r="M52" s="42"/>
    </row>
    <row r="53">
      <c r="A53" s="174">
        <v>45690.0</v>
      </c>
      <c r="B53" s="184" t="s">
        <v>17</v>
      </c>
      <c r="C53" s="176">
        <v>31.11</v>
      </c>
      <c r="D53" s="176" t="s">
        <v>1047</v>
      </c>
      <c r="E53" s="107"/>
      <c r="G53" s="42"/>
      <c r="H53" s="42"/>
      <c r="I53" s="42"/>
      <c r="J53" s="42"/>
      <c r="K53" s="42"/>
      <c r="L53" s="42"/>
      <c r="M53" s="42"/>
    </row>
    <row r="54">
      <c r="A54" s="177">
        <v>45696.0</v>
      </c>
      <c r="B54" s="184" t="s">
        <v>19</v>
      </c>
      <c r="C54" s="179">
        <v>26.81</v>
      </c>
      <c r="D54" s="180" t="s">
        <v>1048</v>
      </c>
      <c r="E54" s="107"/>
      <c r="G54" s="42"/>
      <c r="H54" s="42"/>
      <c r="I54" s="42"/>
      <c r="J54" s="42"/>
      <c r="K54" s="42"/>
      <c r="L54" s="42"/>
      <c r="M54" s="42"/>
    </row>
    <row r="55">
      <c r="A55" s="177">
        <v>45696.0</v>
      </c>
      <c r="B55" s="186" t="s">
        <v>17</v>
      </c>
      <c r="C55" s="179">
        <v>26.14</v>
      </c>
      <c r="D55" s="178" t="s">
        <v>1049</v>
      </c>
      <c r="E55" s="107"/>
      <c r="G55" s="42"/>
      <c r="H55" s="42"/>
      <c r="I55" s="42"/>
      <c r="J55" s="42"/>
      <c r="K55" s="42"/>
      <c r="L55" s="42"/>
      <c r="M55" s="42"/>
    </row>
    <row r="56">
      <c r="A56" s="187">
        <v>45689.0</v>
      </c>
      <c r="B56" s="184" t="s">
        <v>17</v>
      </c>
      <c r="C56" s="186">
        <v>14.93</v>
      </c>
      <c r="D56" s="186" t="s">
        <v>1050</v>
      </c>
      <c r="E56" s="107"/>
      <c r="G56" s="42"/>
      <c r="H56" s="42"/>
      <c r="I56" s="42"/>
      <c r="J56" s="42"/>
      <c r="K56" s="42"/>
      <c r="L56" s="42"/>
      <c r="M56" s="42"/>
    </row>
    <row r="57">
      <c r="A57" s="187">
        <v>45689.0</v>
      </c>
      <c r="B57" s="184" t="s">
        <v>17</v>
      </c>
      <c r="C57" s="186">
        <v>11.2</v>
      </c>
      <c r="D57" s="186" t="s">
        <v>1051</v>
      </c>
      <c r="E57" s="107"/>
      <c r="G57" s="42"/>
      <c r="H57" s="42"/>
      <c r="I57" s="42"/>
      <c r="J57" s="42"/>
      <c r="K57" s="42"/>
      <c r="L57" s="42"/>
      <c r="M57" s="42"/>
    </row>
    <row r="58">
      <c r="A58" s="188">
        <v>45690.0</v>
      </c>
      <c r="B58" s="184" t="s">
        <v>17</v>
      </c>
      <c r="C58" s="189">
        <v>9.14</v>
      </c>
      <c r="D58" s="189" t="s">
        <v>1052</v>
      </c>
      <c r="E58" s="107"/>
      <c r="G58" s="42"/>
      <c r="H58" s="42"/>
      <c r="I58" s="42"/>
      <c r="J58" s="42"/>
      <c r="K58" s="42"/>
      <c r="L58" s="42"/>
      <c r="M58" s="42"/>
    </row>
    <row r="59">
      <c r="A59" s="187">
        <v>45689.0</v>
      </c>
      <c r="B59" s="184" t="s">
        <v>25</v>
      </c>
      <c r="C59" s="186">
        <v>7.47</v>
      </c>
      <c r="D59" s="186" t="s">
        <v>1053</v>
      </c>
      <c r="E59" s="107"/>
      <c r="G59" s="42"/>
      <c r="H59" s="42"/>
      <c r="I59" s="42"/>
      <c r="J59" s="42"/>
      <c r="K59" s="42"/>
      <c r="L59" s="42"/>
      <c r="M59" s="42"/>
    </row>
    <row r="60">
      <c r="A60" s="188">
        <v>45693.0</v>
      </c>
      <c r="B60" s="184" t="s">
        <v>17</v>
      </c>
      <c r="C60" s="189">
        <v>6.65</v>
      </c>
      <c r="D60" s="189" t="s">
        <v>939</v>
      </c>
      <c r="E60" s="107"/>
      <c r="G60" s="42"/>
      <c r="H60" s="42"/>
      <c r="I60" s="42"/>
      <c r="J60" s="42"/>
      <c r="K60" s="42"/>
      <c r="L60" s="42"/>
      <c r="M60" s="42"/>
    </row>
    <row r="61">
      <c r="A61" s="190">
        <v>45701.0</v>
      </c>
      <c r="B61" s="186" t="s">
        <v>79</v>
      </c>
      <c r="C61" s="191">
        <v>5.6</v>
      </c>
      <c r="D61" s="184" t="s">
        <v>1054</v>
      </c>
      <c r="E61" s="107"/>
      <c r="G61" s="42"/>
      <c r="H61" s="42"/>
      <c r="I61" s="42"/>
      <c r="J61" s="42"/>
      <c r="K61" s="42"/>
      <c r="L61" s="42"/>
      <c r="M61" s="42"/>
    </row>
    <row r="62">
      <c r="A62" s="188">
        <v>45690.0</v>
      </c>
      <c r="B62" s="184" t="s">
        <v>17</v>
      </c>
      <c r="C62" s="189">
        <v>5.35</v>
      </c>
      <c r="D62" s="189" t="s">
        <v>1055</v>
      </c>
      <c r="E62" s="107"/>
      <c r="G62" s="42"/>
      <c r="H62" s="42"/>
      <c r="I62" s="42"/>
      <c r="J62" s="42"/>
      <c r="K62" s="42"/>
      <c r="L62" s="42"/>
      <c r="M62" s="42"/>
    </row>
    <row r="63">
      <c r="A63" s="192">
        <v>45691.0</v>
      </c>
      <c r="B63" s="184" t="s">
        <v>19</v>
      </c>
      <c r="C63" s="191">
        <v>5.0</v>
      </c>
      <c r="D63" s="193" t="s">
        <v>763</v>
      </c>
      <c r="E63" s="107"/>
      <c r="G63" s="42"/>
      <c r="H63" s="42"/>
      <c r="I63" s="42"/>
      <c r="J63" s="42"/>
      <c r="K63" s="42"/>
      <c r="L63" s="42"/>
      <c r="M63" s="42"/>
    </row>
    <row r="64">
      <c r="A64" s="187">
        <v>45689.0</v>
      </c>
      <c r="B64" s="184" t="s">
        <v>17</v>
      </c>
      <c r="C64" s="186">
        <v>4.79</v>
      </c>
      <c r="D64" s="186" t="s">
        <v>1056</v>
      </c>
      <c r="E64" s="107"/>
      <c r="G64" s="42"/>
      <c r="H64" s="42"/>
      <c r="I64" s="42"/>
      <c r="J64" s="42"/>
      <c r="K64" s="42"/>
      <c r="L64" s="42"/>
      <c r="M64" s="42"/>
    </row>
    <row r="65">
      <c r="A65" s="187">
        <v>45689.0</v>
      </c>
      <c r="B65" s="184" t="s">
        <v>25</v>
      </c>
      <c r="C65" s="186">
        <v>4.67</v>
      </c>
      <c r="D65" s="186" t="s">
        <v>1057</v>
      </c>
      <c r="E65" s="107"/>
      <c r="G65" s="42"/>
      <c r="H65" s="42"/>
      <c r="I65" s="42"/>
      <c r="J65" s="42"/>
      <c r="K65" s="42"/>
      <c r="L65" s="42"/>
      <c r="M65" s="42"/>
    </row>
    <row r="66">
      <c r="A66" s="190">
        <v>45689.0</v>
      </c>
      <c r="B66" s="184" t="s">
        <v>79</v>
      </c>
      <c r="C66" s="191">
        <v>3.37</v>
      </c>
      <c r="D66" s="194" t="s">
        <v>995</v>
      </c>
      <c r="E66" s="107"/>
      <c r="G66" s="42"/>
      <c r="H66" s="42"/>
      <c r="I66" s="42"/>
      <c r="J66" s="42"/>
      <c r="K66" s="42"/>
      <c r="L66" s="42"/>
      <c r="M66" s="42"/>
    </row>
    <row r="67">
      <c r="A67" s="187">
        <v>45689.0</v>
      </c>
      <c r="B67" s="184" t="s">
        <v>79</v>
      </c>
      <c r="C67" s="186">
        <v>3.36</v>
      </c>
      <c r="D67" s="186" t="s">
        <v>1010</v>
      </c>
      <c r="E67" s="107"/>
      <c r="G67" s="42"/>
      <c r="H67" s="42"/>
      <c r="I67" s="42"/>
      <c r="J67" s="42"/>
      <c r="K67" s="42"/>
      <c r="L67" s="42"/>
      <c r="M67" s="42"/>
    </row>
    <row r="68">
      <c r="A68" s="190">
        <v>45690.0</v>
      </c>
      <c r="B68" s="184" t="s">
        <v>19</v>
      </c>
      <c r="C68" s="191">
        <v>3.16</v>
      </c>
      <c r="D68" s="194" t="s">
        <v>1058</v>
      </c>
      <c r="E68" s="107"/>
      <c r="G68" s="42"/>
      <c r="H68" s="42"/>
      <c r="I68" s="42"/>
      <c r="J68" s="42"/>
      <c r="K68" s="42"/>
      <c r="L68" s="42"/>
      <c r="M68" s="42"/>
    </row>
    <row r="69">
      <c r="A69" s="190">
        <v>45693.0</v>
      </c>
      <c r="B69" s="184" t="s">
        <v>79</v>
      </c>
      <c r="C69" s="191">
        <v>2.4</v>
      </c>
      <c r="D69" s="194" t="s">
        <v>1059</v>
      </c>
      <c r="E69" s="107"/>
      <c r="G69" s="42"/>
      <c r="H69" s="42"/>
      <c r="I69" s="42"/>
      <c r="J69" s="42"/>
      <c r="K69" s="42"/>
      <c r="L69" s="42"/>
      <c r="M69" s="42"/>
    </row>
    <row r="70">
      <c r="A70" s="188">
        <v>45692.0</v>
      </c>
      <c r="B70" s="184" t="s">
        <v>17</v>
      </c>
      <c r="C70" s="189">
        <v>1.28</v>
      </c>
      <c r="D70" s="189" t="s">
        <v>939</v>
      </c>
      <c r="E70" s="107"/>
      <c r="G70" s="42"/>
      <c r="H70" s="42"/>
      <c r="I70" s="42"/>
      <c r="J70" s="42"/>
      <c r="K70" s="42"/>
      <c r="L70" s="42"/>
      <c r="M70" s="42"/>
    </row>
    <row r="71">
      <c r="A71" s="190">
        <v>45691.0</v>
      </c>
      <c r="B71" s="184" t="s">
        <v>19</v>
      </c>
      <c r="C71" s="191">
        <v>1.25</v>
      </c>
      <c r="D71" s="194" t="s">
        <v>807</v>
      </c>
      <c r="E71" s="107"/>
      <c r="G71" s="42"/>
      <c r="H71" s="42"/>
      <c r="I71" s="42"/>
      <c r="J71" s="42"/>
      <c r="K71" s="42"/>
      <c r="L71" s="42"/>
      <c r="M71" s="42"/>
    </row>
    <row r="72">
      <c r="A72" s="190">
        <v>45702.0</v>
      </c>
      <c r="B72" s="186" t="s">
        <v>25</v>
      </c>
      <c r="C72" s="191">
        <v>0.99</v>
      </c>
      <c r="D72" s="184" t="s">
        <v>1060</v>
      </c>
      <c r="E72" s="107"/>
      <c r="G72" s="42"/>
      <c r="H72" s="42"/>
      <c r="I72" s="42"/>
      <c r="J72" s="42"/>
      <c r="K72" s="42"/>
      <c r="L72" s="42"/>
      <c r="M72" s="42"/>
    </row>
    <row r="73">
      <c r="A73" s="190">
        <v>45694.0</v>
      </c>
      <c r="B73" s="195" t="s">
        <v>25</v>
      </c>
      <c r="C73" s="191">
        <v>0.99</v>
      </c>
      <c r="D73" s="196" t="s">
        <v>1060</v>
      </c>
      <c r="E73" s="107"/>
      <c r="G73" s="42"/>
      <c r="H73" s="42"/>
      <c r="I73" s="42"/>
      <c r="J73" s="42"/>
      <c r="K73" s="42"/>
      <c r="L73" s="42"/>
      <c r="M73" s="42"/>
    </row>
    <row r="74">
      <c r="A74" s="188">
        <v>45700.0</v>
      </c>
      <c r="B74" s="184" t="s">
        <v>17</v>
      </c>
      <c r="C74" s="189">
        <v>0.79</v>
      </c>
      <c r="D74" s="189" t="s">
        <v>891</v>
      </c>
      <c r="E74" s="107"/>
      <c r="G74" s="42"/>
      <c r="H74" s="42"/>
      <c r="I74" s="42"/>
      <c r="J74" s="42"/>
      <c r="K74" s="42"/>
      <c r="L74" s="42"/>
      <c r="M74" s="42"/>
    </row>
    <row r="75">
      <c r="A75" s="197">
        <v>45704.0</v>
      </c>
      <c r="B75" s="198" t="s">
        <v>25</v>
      </c>
      <c r="C75" s="199">
        <v>0.99</v>
      </c>
      <c r="D75" s="200" t="s">
        <v>1060</v>
      </c>
      <c r="E75" s="107"/>
      <c r="G75" s="42"/>
      <c r="H75" s="42"/>
      <c r="I75" s="42"/>
      <c r="J75" s="42"/>
      <c r="K75" s="42"/>
      <c r="L75" s="42"/>
      <c r="M75" s="42"/>
    </row>
    <row r="76">
      <c r="A76" s="197">
        <v>45704.0</v>
      </c>
      <c r="B76" s="198" t="s">
        <v>17</v>
      </c>
      <c r="C76" s="199">
        <v>31.38</v>
      </c>
      <c r="D76" s="200" t="s">
        <v>1061</v>
      </c>
      <c r="E76" s="107"/>
      <c r="G76" s="42"/>
      <c r="H76" s="42"/>
      <c r="I76" s="42"/>
      <c r="J76" s="42"/>
      <c r="K76" s="42"/>
      <c r="L76" s="42"/>
      <c r="M76" s="42"/>
    </row>
    <row r="77">
      <c r="A77" s="197">
        <v>45705.0</v>
      </c>
      <c r="B77" s="198" t="s">
        <v>17</v>
      </c>
      <c r="C77" s="199">
        <v>55.75</v>
      </c>
      <c r="D77" s="200" t="s">
        <v>1062</v>
      </c>
      <c r="E77" s="107"/>
      <c r="G77" s="42"/>
      <c r="H77" s="42"/>
      <c r="I77" s="42"/>
      <c r="J77" s="42"/>
      <c r="K77" s="42"/>
      <c r="L77" s="42"/>
      <c r="M77" s="42"/>
    </row>
    <row r="78">
      <c r="A78" s="197">
        <v>45706.0</v>
      </c>
      <c r="B78" s="198" t="s">
        <v>79</v>
      </c>
      <c r="C78" s="199">
        <v>226.07</v>
      </c>
      <c r="D78" s="200" t="s">
        <v>1063</v>
      </c>
      <c r="E78" s="107"/>
      <c r="G78" s="42"/>
      <c r="H78" s="42"/>
      <c r="I78" s="42"/>
      <c r="J78" s="42"/>
      <c r="K78" s="42"/>
      <c r="L78" s="42"/>
      <c r="M78" s="42"/>
    </row>
    <row r="79" ht="18.75" customHeight="1">
      <c r="A79" s="197">
        <v>45706.0</v>
      </c>
      <c r="B79" s="198" t="s">
        <v>17</v>
      </c>
      <c r="C79" s="199">
        <v>9.72</v>
      </c>
      <c r="D79" s="200" t="s">
        <v>1064</v>
      </c>
      <c r="E79" s="107"/>
      <c r="G79" s="42"/>
      <c r="H79" s="42"/>
      <c r="I79" s="42"/>
      <c r="J79" s="42"/>
      <c r="K79" s="42"/>
      <c r="L79" s="42"/>
      <c r="M79" s="42"/>
    </row>
    <row r="80">
      <c r="A80" s="197">
        <v>45707.0</v>
      </c>
      <c r="B80" s="198" t="s">
        <v>79</v>
      </c>
      <c r="C80" s="199">
        <v>-252.98</v>
      </c>
      <c r="D80" s="200" t="s">
        <v>1065</v>
      </c>
      <c r="E80" s="107"/>
      <c r="G80" s="42"/>
      <c r="H80" s="42"/>
      <c r="I80" s="42"/>
      <c r="J80" s="42"/>
      <c r="K80" s="42"/>
      <c r="L80" s="42"/>
      <c r="M80" s="42"/>
    </row>
    <row r="81">
      <c r="A81" s="197">
        <v>45712.0</v>
      </c>
      <c r="B81" s="198" t="s">
        <v>17</v>
      </c>
      <c r="C81" s="199">
        <v>143.0</v>
      </c>
      <c r="D81" s="200" t="s">
        <v>1066</v>
      </c>
      <c r="E81" s="107"/>
      <c r="G81" s="42"/>
      <c r="H81" s="42"/>
      <c r="I81" s="42"/>
      <c r="J81" s="42"/>
      <c r="K81" s="42"/>
      <c r="L81" s="42"/>
      <c r="M81" s="42"/>
    </row>
    <row r="82">
      <c r="A82" s="197">
        <v>45712.0</v>
      </c>
      <c r="B82" s="198" t="s">
        <v>17</v>
      </c>
      <c r="C82" s="199">
        <v>63.5</v>
      </c>
      <c r="D82" s="200" t="s">
        <v>1067</v>
      </c>
      <c r="E82" s="107"/>
      <c r="G82" s="42"/>
      <c r="H82" s="42"/>
      <c r="I82" s="42"/>
      <c r="J82" s="42"/>
      <c r="K82" s="42"/>
      <c r="L82" s="42"/>
      <c r="M82" s="42"/>
    </row>
    <row r="83">
      <c r="A83" s="197">
        <v>45713.0</v>
      </c>
      <c r="B83" s="198" t="s">
        <v>19</v>
      </c>
      <c r="C83" s="199">
        <v>7.49</v>
      </c>
      <c r="D83" s="200" t="s">
        <v>1068</v>
      </c>
      <c r="E83" s="107"/>
      <c r="G83" s="42"/>
      <c r="H83" s="42"/>
      <c r="I83" s="42"/>
      <c r="J83" s="42"/>
      <c r="K83" s="42"/>
      <c r="L83" s="42"/>
      <c r="M83" s="42"/>
    </row>
    <row r="84">
      <c r="A84" s="197">
        <v>45713.0</v>
      </c>
      <c r="B84" s="198" t="s">
        <v>19</v>
      </c>
      <c r="C84" s="199">
        <v>48.05</v>
      </c>
      <c r="D84" s="200" t="s">
        <v>1069</v>
      </c>
      <c r="E84" s="107"/>
      <c r="G84" s="42"/>
      <c r="H84" s="42"/>
      <c r="I84" s="42"/>
      <c r="J84" s="42"/>
      <c r="K84" s="42"/>
      <c r="L84" s="42"/>
      <c r="M84" s="42"/>
    </row>
    <row r="85">
      <c r="A85" s="197">
        <v>45713.0</v>
      </c>
      <c r="B85" s="198" t="s">
        <v>19</v>
      </c>
      <c r="C85" s="199">
        <v>12.0</v>
      </c>
      <c r="D85" s="200" t="s">
        <v>1070</v>
      </c>
      <c r="E85" s="107"/>
      <c r="G85" s="42"/>
      <c r="H85" s="42"/>
      <c r="I85" s="42"/>
      <c r="J85" s="42"/>
      <c r="K85" s="42"/>
      <c r="L85" s="42"/>
      <c r="M85" s="42"/>
    </row>
    <row r="86">
      <c r="A86" s="197">
        <v>45714.0</v>
      </c>
      <c r="B86" s="198" t="s">
        <v>19</v>
      </c>
      <c r="C86" s="199">
        <v>15.88</v>
      </c>
      <c r="D86" s="200" t="s">
        <v>1071</v>
      </c>
      <c r="E86" s="107"/>
      <c r="G86" s="42"/>
      <c r="H86" s="42"/>
      <c r="I86" s="42"/>
      <c r="J86" s="42"/>
      <c r="K86" s="42"/>
      <c r="L86" s="42"/>
      <c r="M86" s="42"/>
    </row>
    <row r="87">
      <c r="A87" s="197">
        <v>45715.0</v>
      </c>
      <c r="B87" s="198" t="s">
        <v>17</v>
      </c>
      <c r="C87" s="199">
        <v>22.99</v>
      </c>
      <c r="D87" s="200" t="s">
        <v>1072</v>
      </c>
      <c r="E87" s="107"/>
      <c r="G87" s="42"/>
      <c r="H87" s="42"/>
      <c r="I87" s="42"/>
      <c r="J87" s="42"/>
      <c r="K87" s="42"/>
      <c r="L87" s="42"/>
      <c r="M87" s="42"/>
    </row>
    <row r="88">
      <c r="A88" s="197">
        <v>45715.0</v>
      </c>
      <c r="B88" s="198" t="s">
        <v>15</v>
      </c>
      <c r="C88" s="199">
        <v>15.25</v>
      </c>
      <c r="D88" s="200" t="s">
        <v>815</v>
      </c>
      <c r="E88" s="107"/>
      <c r="G88" s="42"/>
      <c r="H88" s="42"/>
      <c r="I88" s="42"/>
      <c r="J88" s="42"/>
      <c r="K88" s="42"/>
      <c r="L88" s="42"/>
      <c r="M88" s="42"/>
    </row>
    <row r="89">
      <c r="A89" s="197">
        <v>45715.0</v>
      </c>
      <c r="B89" s="198" t="s">
        <v>22</v>
      </c>
      <c r="C89" s="199">
        <v>2.4</v>
      </c>
      <c r="D89" s="200" t="s">
        <v>1059</v>
      </c>
      <c r="E89" s="107"/>
      <c r="G89" s="42"/>
      <c r="H89" s="42"/>
      <c r="I89" s="42"/>
      <c r="J89" s="42"/>
      <c r="K89" s="42"/>
      <c r="L89" s="42"/>
      <c r="M89" s="42"/>
    </row>
    <row r="90">
      <c r="A90" s="197">
        <v>45716.0</v>
      </c>
      <c r="B90" s="198" t="s">
        <v>25</v>
      </c>
      <c r="C90" s="199">
        <v>0.99</v>
      </c>
      <c r="D90" s="201" t="s">
        <v>400</v>
      </c>
      <c r="E90" s="107"/>
      <c r="G90" s="42"/>
      <c r="H90" s="42"/>
      <c r="I90" s="42"/>
      <c r="J90" s="42"/>
      <c r="K90" s="42"/>
      <c r="L90" s="42"/>
      <c r="M90" s="42"/>
    </row>
    <row r="91">
      <c r="A91" s="181"/>
      <c r="B91" s="184"/>
      <c r="C91" s="182"/>
      <c r="D91" s="183"/>
      <c r="E91" s="107"/>
      <c r="G91" s="42"/>
      <c r="H91" s="42"/>
      <c r="I91" s="42"/>
      <c r="J91" s="42"/>
      <c r="K91" s="42"/>
      <c r="L91" s="42"/>
      <c r="M91" s="42"/>
    </row>
    <row r="92">
      <c r="A92" s="181"/>
      <c r="B92" s="184"/>
      <c r="C92" s="182"/>
      <c r="D92" s="183"/>
      <c r="E92" s="107"/>
      <c r="G92" s="42"/>
      <c r="H92" s="42"/>
      <c r="I92" s="42"/>
      <c r="J92" s="42"/>
      <c r="K92" s="42"/>
      <c r="L92" s="42"/>
      <c r="M92" s="42"/>
    </row>
    <row r="93">
      <c r="A93" s="181"/>
      <c r="B93" s="184"/>
      <c r="C93" s="182"/>
      <c r="D93" s="183"/>
      <c r="E93" s="107"/>
      <c r="G93" s="42"/>
      <c r="H93" s="42"/>
      <c r="I93" s="42"/>
      <c r="J93" s="42"/>
      <c r="K93" s="42"/>
      <c r="L93" s="42"/>
      <c r="M93" s="42"/>
    </row>
    <row r="94">
      <c r="A94" s="181"/>
      <c r="B94" s="184"/>
      <c r="C94" s="182"/>
      <c r="D94" s="183"/>
      <c r="E94" s="107"/>
      <c r="G94" s="42"/>
      <c r="H94" s="42"/>
      <c r="I94" s="42"/>
      <c r="J94" s="42"/>
      <c r="K94" s="42"/>
      <c r="L94" s="42"/>
      <c r="M94" s="42"/>
    </row>
    <row r="95">
      <c r="A95" s="181"/>
      <c r="B95" s="184"/>
      <c r="C95" s="182"/>
      <c r="D95" s="183"/>
      <c r="E95" s="107"/>
      <c r="G95" s="42"/>
      <c r="H95" s="42"/>
      <c r="I95" s="42"/>
      <c r="J95" s="42"/>
      <c r="K95" s="42"/>
      <c r="L95" s="42"/>
      <c r="M95" s="42"/>
    </row>
    <row r="96">
      <c r="A96" s="181"/>
      <c r="B96" s="184"/>
      <c r="C96" s="182"/>
      <c r="D96" s="183"/>
      <c r="E96" s="107"/>
      <c r="G96" s="42"/>
      <c r="H96" s="42"/>
      <c r="I96" s="42"/>
      <c r="J96" s="42"/>
      <c r="K96" s="42"/>
      <c r="L96" s="42"/>
      <c r="M96" s="42"/>
    </row>
    <row r="97">
      <c r="A97" s="181"/>
      <c r="B97" s="184"/>
      <c r="C97" s="182"/>
      <c r="D97" s="183"/>
      <c r="E97" s="107"/>
      <c r="G97" s="42"/>
      <c r="H97" s="42"/>
      <c r="I97" s="42"/>
      <c r="J97" s="42"/>
      <c r="K97" s="42"/>
      <c r="L97" s="42"/>
      <c r="M97" s="42"/>
    </row>
    <row r="98">
      <c r="A98" s="181"/>
      <c r="B98" s="184"/>
      <c r="C98" s="182"/>
      <c r="D98" s="183"/>
      <c r="E98" s="107"/>
      <c r="G98" s="42"/>
      <c r="H98" s="42"/>
      <c r="I98" s="42"/>
      <c r="J98" s="42"/>
      <c r="K98" s="42"/>
      <c r="L98" s="42"/>
      <c r="M98" s="42"/>
    </row>
    <row r="99">
      <c r="A99" s="181"/>
      <c r="B99" s="184"/>
      <c r="C99" s="182"/>
      <c r="D99" s="183"/>
      <c r="E99" s="107"/>
      <c r="G99" s="42"/>
      <c r="H99" s="42"/>
      <c r="I99" s="42"/>
      <c r="J99" s="42"/>
      <c r="K99" s="42"/>
      <c r="L99" s="42"/>
      <c r="M99" s="42"/>
    </row>
    <row r="100">
      <c r="A100" s="192"/>
      <c r="B100" s="184"/>
      <c r="C100" s="202"/>
      <c r="D100" s="193"/>
      <c r="E100" s="107"/>
      <c r="G100" s="42"/>
      <c r="H100" s="42"/>
      <c r="I100" s="42"/>
      <c r="J100" s="42"/>
      <c r="K100" s="42"/>
      <c r="L100" s="42"/>
      <c r="M100" s="42"/>
    </row>
    <row r="101">
      <c r="A101" s="203"/>
      <c r="B101" s="203"/>
      <c r="C101" s="203"/>
      <c r="D101" s="203"/>
      <c r="E101" s="132"/>
      <c r="G101" s="42"/>
      <c r="H101" s="42"/>
      <c r="I101" s="42"/>
      <c r="J101" s="42"/>
      <c r="K101" s="42"/>
      <c r="L101" s="42"/>
      <c r="M101" s="42"/>
    </row>
    <row r="102">
      <c r="A102" s="203"/>
      <c r="B102" s="203"/>
      <c r="C102" s="203"/>
      <c r="D102" s="203"/>
      <c r="E102" s="107"/>
      <c r="G102" s="42"/>
      <c r="H102" s="42"/>
      <c r="I102" s="42"/>
      <c r="J102" s="42"/>
      <c r="K102" s="42"/>
      <c r="L102" s="42"/>
      <c r="M102" s="42"/>
    </row>
    <row r="103">
      <c r="A103" s="203"/>
      <c r="B103" s="203"/>
      <c r="C103" s="203"/>
      <c r="D103" s="203"/>
      <c r="E103" s="107"/>
      <c r="G103" s="42"/>
      <c r="H103" s="42"/>
      <c r="I103" s="42"/>
      <c r="J103" s="42"/>
      <c r="K103" s="42"/>
      <c r="L103" s="42"/>
      <c r="M103" s="42"/>
    </row>
    <row r="104">
      <c r="A104" s="203"/>
      <c r="B104" s="203"/>
      <c r="C104" s="203"/>
      <c r="D104" s="203"/>
      <c r="E104" s="132"/>
      <c r="G104" s="42"/>
      <c r="H104" s="42"/>
      <c r="I104" s="42"/>
      <c r="J104" s="42"/>
      <c r="K104" s="42"/>
      <c r="L104" s="42"/>
      <c r="M104" s="42"/>
    </row>
    <row r="105">
      <c r="A105" s="203"/>
      <c r="B105" s="203"/>
      <c r="C105" s="203"/>
      <c r="D105" s="203"/>
      <c r="E105" s="107">
        <v>-1.1</v>
      </c>
      <c r="G105" s="42"/>
      <c r="H105" s="42"/>
      <c r="I105" s="42"/>
      <c r="J105" s="42"/>
      <c r="K105" s="42"/>
      <c r="L105" s="42"/>
      <c r="M105" s="42"/>
    </row>
    <row r="106">
      <c r="A106" s="203"/>
      <c r="B106" s="203"/>
      <c r="C106" s="203"/>
      <c r="D106" s="203"/>
      <c r="E106" s="107">
        <v>-30.0</v>
      </c>
      <c r="G106" s="42"/>
      <c r="H106" s="42"/>
      <c r="I106" s="42"/>
      <c r="J106" s="42"/>
      <c r="K106" s="42"/>
      <c r="L106" s="42"/>
      <c r="M106" s="42"/>
    </row>
    <row r="107">
      <c r="A107" s="181"/>
      <c r="B107" s="178"/>
      <c r="C107" s="182"/>
      <c r="D107" s="183"/>
      <c r="E107" s="107">
        <v>-10.69</v>
      </c>
      <c r="G107" s="42"/>
      <c r="H107" s="42"/>
      <c r="I107" s="42"/>
      <c r="J107" s="42"/>
      <c r="K107" s="42"/>
      <c r="L107" s="42"/>
      <c r="M107" s="42"/>
    </row>
    <row r="108">
      <c r="A108" s="177"/>
      <c r="B108" s="184"/>
      <c r="C108" s="180"/>
      <c r="D108" s="180"/>
      <c r="E108" s="107">
        <v>-81.99</v>
      </c>
      <c r="G108" s="99"/>
      <c r="H108" s="42"/>
      <c r="I108" s="42"/>
      <c r="J108" s="42"/>
      <c r="K108" s="42"/>
      <c r="L108" s="42"/>
      <c r="M108" s="42"/>
    </row>
    <row r="109">
      <c r="A109" s="181"/>
      <c r="B109" s="178"/>
      <c r="C109" s="182"/>
      <c r="D109" s="183"/>
      <c r="E109" s="107">
        <v>-91.44</v>
      </c>
      <c r="G109" s="42"/>
      <c r="H109" s="42"/>
      <c r="I109" s="42"/>
      <c r="J109" s="42"/>
      <c r="K109" s="42"/>
      <c r="L109" s="42"/>
      <c r="M109" s="42"/>
    </row>
    <row r="110">
      <c r="A110" s="181"/>
      <c r="B110" s="178"/>
      <c r="C110" s="182"/>
      <c r="D110" s="183"/>
      <c r="E110" s="107">
        <v>-79.99</v>
      </c>
      <c r="G110" s="42"/>
      <c r="H110" s="42"/>
      <c r="I110" s="42"/>
      <c r="J110" s="42"/>
      <c r="K110" s="42"/>
      <c r="L110" s="42"/>
      <c r="M110" s="42"/>
    </row>
    <row r="111">
      <c r="A111" s="203"/>
      <c r="B111" s="203"/>
      <c r="C111" s="203"/>
      <c r="D111" s="203"/>
      <c r="E111" s="107">
        <v>-120.75</v>
      </c>
      <c r="G111" s="42"/>
      <c r="H111" s="42"/>
      <c r="I111" s="42"/>
      <c r="J111" s="42"/>
      <c r="K111" s="42"/>
      <c r="L111" s="42"/>
      <c r="M111" s="42"/>
    </row>
    <row r="112">
      <c r="A112" s="203"/>
      <c r="B112" s="203"/>
      <c r="C112" s="203"/>
      <c r="D112" s="203"/>
      <c r="E112" s="107">
        <v>-1.75</v>
      </c>
      <c r="G112" s="42"/>
      <c r="H112" s="42"/>
      <c r="I112" s="42"/>
      <c r="J112" s="42"/>
      <c r="K112" s="42"/>
      <c r="L112" s="42"/>
      <c r="M112" s="42"/>
    </row>
    <row r="113">
      <c r="A113" s="203"/>
      <c r="B113" s="203"/>
      <c r="C113" s="203"/>
      <c r="D113" s="203"/>
      <c r="E113" s="107">
        <v>-1.25</v>
      </c>
      <c r="G113" s="42"/>
      <c r="H113" s="42"/>
      <c r="I113" s="42"/>
      <c r="J113" s="42"/>
      <c r="K113" s="42"/>
      <c r="L113" s="42"/>
      <c r="M113" s="42"/>
    </row>
    <row r="114">
      <c r="A114" s="203"/>
      <c r="B114" s="203"/>
      <c r="C114" s="203"/>
      <c r="D114" s="203"/>
      <c r="E114" s="107">
        <v>-1.25</v>
      </c>
      <c r="G114" s="42"/>
      <c r="H114" s="42"/>
      <c r="I114" s="42"/>
      <c r="J114" s="42"/>
      <c r="K114" s="42"/>
      <c r="L114" s="42"/>
      <c r="M114" s="42"/>
    </row>
    <row r="115">
      <c r="A115" s="181"/>
      <c r="B115" s="178"/>
      <c r="C115" s="182"/>
      <c r="D115" s="183"/>
      <c r="E115" s="107">
        <v>-9.6</v>
      </c>
      <c r="G115" s="42"/>
      <c r="H115" s="42"/>
      <c r="I115" s="42"/>
      <c r="J115" s="42"/>
      <c r="K115" s="42"/>
      <c r="L115" s="42"/>
      <c r="M115" s="42"/>
    </row>
    <row r="116">
      <c r="A116" s="181"/>
      <c r="B116" s="178"/>
      <c r="C116" s="182"/>
      <c r="D116" s="183"/>
      <c r="E116" s="107">
        <v>-1.25</v>
      </c>
      <c r="G116" s="42"/>
      <c r="H116" s="42"/>
      <c r="I116" s="42"/>
      <c r="J116" s="42"/>
      <c r="K116" s="42"/>
      <c r="L116" s="42"/>
      <c r="M116" s="42"/>
    </row>
    <row r="117">
      <c r="A117" s="192"/>
      <c r="B117" s="184"/>
      <c r="C117" s="202"/>
      <c r="D117" s="193"/>
      <c r="E117" s="107">
        <v>-1.25</v>
      </c>
      <c r="G117" s="42"/>
      <c r="H117" s="42"/>
      <c r="I117" s="42"/>
      <c r="J117" s="42"/>
      <c r="K117" s="42"/>
      <c r="L117" s="42"/>
      <c r="M117" s="42"/>
    </row>
    <row r="118">
      <c r="A118" s="181"/>
      <c r="B118" s="178"/>
      <c r="C118" s="182"/>
      <c r="D118" s="183"/>
      <c r="E118" s="107">
        <v>-2.9</v>
      </c>
      <c r="G118" s="42"/>
      <c r="H118" s="42"/>
      <c r="I118" s="42"/>
      <c r="J118" s="42"/>
      <c r="K118" s="42"/>
      <c r="L118" s="42"/>
      <c r="M118" s="42"/>
    </row>
    <row r="119">
      <c r="A119" s="192"/>
      <c r="B119" s="184"/>
      <c r="C119" s="202"/>
      <c r="D119" s="193"/>
      <c r="E119" s="107">
        <v>-30.0</v>
      </c>
      <c r="G119" s="42"/>
      <c r="H119" s="42"/>
      <c r="I119" s="42"/>
      <c r="J119" s="42"/>
      <c r="K119" s="42"/>
      <c r="L119" s="42"/>
      <c r="M119" s="42"/>
    </row>
    <row r="120">
      <c r="A120" s="181"/>
      <c r="B120" s="178"/>
      <c r="C120" s="182"/>
      <c r="D120" s="183"/>
      <c r="E120" s="107">
        <v>-2.9</v>
      </c>
      <c r="G120" s="42"/>
      <c r="H120" s="42"/>
      <c r="I120" s="42"/>
      <c r="J120" s="42"/>
      <c r="K120" s="42"/>
      <c r="L120" s="42"/>
      <c r="M120" s="42"/>
    </row>
    <row r="121">
      <c r="A121" s="181"/>
      <c r="B121" s="178"/>
      <c r="C121" s="182"/>
      <c r="D121" s="183"/>
      <c r="E121" s="107">
        <v>-2.75</v>
      </c>
      <c r="G121" s="42"/>
      <c r="H121" s="42"/>
      <c r="I121" s="42"/>
      <c r="J121" s="42"/>
      <c r="K121" s="42"/>
      <c r="L121" s="42"/>
      <c r="M121" s="42"/>
    </row>
    <row r="122">
      <c r="A122" s="181"/>
      <c r="B122" s="178"/>
      <c r="C122" s="182"/>
      <c r="D122" s="183"/>
      <c r="E122" s="107">
        <v>-2.9</v>
      </c>
      <c r="G122" s="42"/>
      <c r="H122" s="42"/>
      <c r="I122" s="42"/>
      <c r="J122" s="42"/>
      <c r="K122" s="42"/>
      <c r="L122" s="42"/>
      <c r="M122" s="42"/>
    </row>
    <row r="123">
      <c r="A123" s="181"/>
      <c r="B123" s="178"/>
      <c r="C123" s="182"/>
      <c r="D123" s="183"/>
      <c r="E123" s="107">
        <v>-2.75</v>
      </c>
      <c r="G123" s="42"/>
      <c r="H123" s="42"/>
      <c r="I123" s="42"/>
      <c r="J123" s="42"/>
      <c r="K123" s="42"/>
      <c r="L123" s="42"/>
      <c r="M123" s="42"/>
    </row>
    <row r="124">
      <c r="A124" s="181"/>
      <c r="B124" s="178"/>
      <c r="C124" s="182"/>
      <c r="D124" s="183"/>
      <c r="E124" s="107">
        <v>-13.25</v>
      </c>
      <c r="G124" s="42"/>
      <c r="H124" s="42"/>
      <c r="I124" s="42"/>
      <c r="J124" s="42"/>
      <c r="K124" s="42"/>
      <c r="L124" s="42"/>
      <c r="M124" s="42"/>
    </row>
    <row r="125">
      <c r="A125" s="192"/>
      <c r="B125" s="184"/>
      <c r="C125" s="202"/>
      <c r="D125" s="193"/>
      <c r="E125" s="107">
        <v>-28.27</v>
      </c>
      <c r="G125" s="42"/>
      <c r="H125" s="42"/>
      <c r="I125" s="42"/>
      <c r="J125" s="42"/>
      <c r="K125" s="42"/>
      <c r="L125" s="42"/>
      <c r="M125" s="42"/>
    </row>
    <row r="126">
      <c r="A126" s="181"/>
      <c r="B126" s="178"/>
      <c r="C126" s="182"/>
      <c r="D126" s="183"/>
      <c r="E126" s="107">
        <v>-51.99</v>
      </c>
      <c r="G126" s="42"/>
      <c r="H126" s="42"/>
      <c r="I126" s="42"/>
      <c r="J126" s="42"/>
      <c r="K126" s="42"/>
      <c r="L126" s="42"/>
      <c r="M126" s="42"/>
    </row>
    <row r="127">
      <c r="A127" s="181"/>
      <c r="B127" s="178"/>
      <c r="C127" s="182"/>
      <c r="D127" s="183"/>
      <c r="E127" s="107">
        <v>-31.03</v>
      </c>
      <c r="G127" s="42"/>
      <c r="H127" s="42"/>
      <c r="I127" s="42"/>
      <c r="J127" s="42"/>
      <c r="K127" s="42"/>
      <c r="L127" s="42"/>
      <c r="M127" s="42"/>
    </row>
    <row r="128">
      <c r="A128" s="181"/>
      <c r="B128" s="178"/>
      <c r="C128" s="182"/>
      <c r="D128" s="183"/>
      <c r="E128" s="107">
        <v>-53.58</v>
      </c>
      <c r="G128" s="42"/>
      <c r="H128" s="42"/>
      <c r="I128" s="42"/>
      <c r="J128" s="42"/>
      <c r="K128" s="42"/>
      <c r="L128" s="42"/>
      <c r="M128" s="42"/>
    </row>
    <row r="129">
      <c r="A129" s="181"/>
      <c r="B129" s="178"/>
      <c r="C129" s="182"/>
      <c r="D129" s="183"/>
      <c r="E129" s="107">
        <v>-1.5</v>
      </c>
      <c r="G129" s="42"/>
      <c r="H129" s="42"/>
      <c r="I129" s="42"/>
      <c r="J129" s="42"/>
      <c r="K129" s="42"/>
      <c r="L129" s="42"/>
      <c r="M129" s="42"/>
    </row>
    <row r="130">
      <c r="A130" s="181"/>
      <c r="B130" s="178"/>
      <c r="C130" s="182"/>
      <c r="D130" s="183"/>
      <c r="E130" s="107">
        <v>-12.84</v>
      </c>
      <c r="G130" s="42"/>
      <c r="H130" s="42"/>
      <c r="I130" s="42"/>
      <c r="J130" s="42"/>
      <c r="K130" s="42"/>
      <c r="L130" s="42"/>
      <c r="M130" s="42"/>
    </row>
    <row r="131">
      <c r="A131" s="181"/>
      <c r="B131" s="178"/>
      <c r="C131" s="182"/>
      <c r="D131" s="183"/>
      <c r="E131" s="107">
        <v>-2.4</v>
      </c>
      <c r="G131" s="42"/>
      <c r="H131" s="42"/>
      <c r="I131" s="42"/>
      <c r="J131" s="42"/>
      <c r="K131" s="42"/>
      <c r="L131" s="42"/>
      <c r="M131" s="42"/>
    </row>
    <row r="132">
      <c r="A132" s="192"/>
      <c r="B132" s="184"/>
      <c r="C132" s="202"/>
      <c r="D132" s="193"/>
      <c r="E132" s="107">
        <v>-1.25</v>
      </c>
      <c r="G132" s="42"/>
      <c r="H132" s="42"/>
      <c r="I132" s="42"/>
      <c r="J132" s="42"/>
      <c r="K132" s="42"/>
      <c r="L132" s="42"/>
      <c r="M132" s="42"/>
    </row>
    <row r="133">
      <c r="A133" s="181"/>
      <c r="B133" s="178"/>
      <c r="C133" s="182"/>
      <c r="D133" s="183"/>
      <c r="E133" s="107">
        <v>-25.95</v>
      </c>
      <c r="G133" s="42"/>
      <c r="H133" s="42"/>
      <c r="I133" s="42"/>
      <c r="J133" s="42"/>
      <c r="K133" s="42"/>
      <c r="L133" s="42"/>
      <c r="M133" s="42"/>
    </row>
    <row r="134">
      <c r="A134" s="192"/>
      <c r="B134" s="184"/>
      <c r="C134" s="202"/>
      <c r="D134" s="193"/>
      <c r="E134" s="107">
        <v>-1.25</v>
      </c>
      <c r="G134" s="42"/>
      <c r="H134" s="42"/>
      <c r="I134" s="42"/>
      <c r="J134" s="42"/>
      <c r="K134" s="42"/>
      <c r="L134" s="42"/>
      <c r="M134" s="42"/>
    </row>
    <row r="135">
      <c r="A135" s="181"/>
      <c r="B135" s="178"/>
      <c r="C135" s="182"/>
      <c r="D135" s="183"/>
      <c r="E135" s="107">
        <v>-3.95</v>
      </c>
      <c r="G135" s="42"/>
      <c r="H135" s="42"/>
      <c r="I135" s="42"/>
      <c r="J135" s="42"/>
      <c r="K135" s="42"/>
      <c r="L135" s="42"/>
      <c r="M135" s="42"/>
    </row>
    <row r="136">
      <c r="A136" s="192"/>
      <c r="B136" s="184"/>
      <c r="C136" s="202"/>
      <c r="D136" s="193"/>
      <c r="E136" s="107">
        <v>-1.25</v>
      </c>
      <c r="G136" s="42"/>
      <c r="H136" s="42"/>
      <c r="I136" s="42"/>
      <c r="J136" s="42"/>
      <c r="K136" s="42"/>
      <c r="L136" s="42"/>
      <c r="M136" s="42"/>
    </row>
    <row r="137">
      <c r="A137" s="181"/>
      <c r="B137" s="178"/>
      <c r="C137" s="182"/>
      <c r="D137" s="183"/>
      <c r="E137" s="107">
        <v>-55.88</v>
      </c>
      <c r="G137" s="42"/>
      <c r="H137" s="42"/>
      <c r="I137" s="42"/>
      <c r="J137" s="42"/>
      <c r="K137" s="42"/>
      <c r="L137" s="42"/>
      <c r="M137" s="42"/>
    </row>
    <row r="138">
      <c r="A138" s="181"/>
      <c r="B138" s="178"/>
      <c r="C138" s="182"/>
      <c r="D138" s="183"/>
      <c r="E138" s="107">
        <v>-25.02</v>
      </c>
      <c r="G138" s="42"/>
      <c r="H138" s="42"/>
      <c r="I138" s="42"/>
      <c r="J138" s="42"/>
      <c r="K138" s="42"/>
      <c r="L138" s="42"/>
      <c r="M138" s="42"/>
    </row>
    <row r="139">
      <c r="A139" s="181"/>
      <c r="B139" s="178"/>
      <c r="C139" s="182"/>
      <c r="D139" s="183"/>
      <c r="E139" s="107">
        <v>-81.2</v>
      </c>
      <c r="G139" s="42"/>
      <c r="H139" s="42"/>
      <c r="I139" s="42"/>
      <c r="J139" s="42"/>
      <c r="K139" s="42"/>
      <c r="L139" s="42"/>
      <c r="M139" s="42"/>
    </row>
    <row r="140">
      <c r="A140" s="192"/>
      <c r="B140" s="184"/>
      <c r="C140" s="189"/>
      <c r="D140" s="186"/>
      <c r="E140" s="107"/>
      <c r="G140" s="42"/>
      <c r="H140" s="42"/>
      <c r="I140" s="42"/>
      <c r="J140" s="42"/>
      <c r="K140" s="42"/>
      <c r="L140" s="42"/>
      <c r="M140" s="42"/>
    </row>
    <row r="141">
      <c r="A141" s="204"/>
      <c r="B141" s="184"/>
      <c r="C141" s="194"/>
      <c r="D141" s="194"/>
      <c r="E141" s="107"/>
      <c r="G141" s="42"/>
      <c r="H141" s="42"/>
      <c r="I141" s="42"/>
      <c r="J141" s="42"/>
      <c r="K141" s="42"/>
      <c r="L141" s="42"/>
      <c r="M141" s="42"/>
    </row>
    <row r="142">
      <c r="A142" s="181"/>
      <c r="B142" s="178"/>
      <c r="C142" s="182"/>
      <c r="D142" s="180"/>
      <c r="E142" s="107"/>
      <c r="G142" s="42"/>
      <c r="H142" s="42"/>
      <c r="I142" s="42"/>
      <c r="J142" s="42"/>
      <c r="K142" s="42"/>
      <c r="L142" s="42"/>
      <c r="M142" s="42"/>
    </row>
    <row r="143">
      <c r="A143" s="192"/>
      <c r="B143" s="186"/>
      <c r="C143" s="189"/>
      <c r="D143" s="186"/>
      <c r="E143" s="107"/>
      <c r="G143" s="42"/>
      <c r="H143" s="42"/>
      <c r="I143" s="42"/>
      <c r="J143" s="42"/>
      <c r="K143" s="42"/>
      <c r="L143" s="42"/>
      <c r="M143" s="42"/>
    </row>
    <row r="144">
      <c r="A144" s="181"/>
      <c r="B144" s="178"/>
      <c r="C144" s="182"/>
      <c r="D144" s="180"/>
      <c r="E144" s="107"/>
      <c r="G144" s="42"/>
      <c r="H144" s="42"/>
      <c r="I144" s="42"/>
      <c r="J144" s="42"/>
      <c r="K144" s="42"/>
      <c r="L144" s="42"/>
      <c r="M144" s="42"/>
    </row>
    <row r="145">
      <c r="A145" s="192"/>
      <c r="B145" s="186"/>
      <c r="C145" s="189"/>
      <c r="D145" s="186"/>
      <c r="E145" s="107"/>
      <c r="G145" s="42"/>
      <c r="H145" s="42"/>
      <c r="I145" s="42"/>
      <c r="J145" s="42"/>
      <c r="K145" s="42"/>
      <c r="L145" s="42"/>
      <c r="M145" s="42"/>
    </row>
    <row r="146">
      <c r="A146" s="181"/>
      <c r="B146" s="178"/>
      <c r="C146" s="182"/>
      <c r="D146" s="180"/>
      <c r="E146" s="107"/>
      <c r="G146" s="42"/>
      <c r="H146" s="42"/>
      <c r="I146" s="42"/>
      <c r="J146" s="42"/>
      <c r="K146" s="42"/>
      <c r="L146" s="42"/>
      <c r="M146" s="42"/>
    </row>
    <row r="147">
      <c r="A147" s="188"/>
      <c r="B147" s="186"/>
      <c r="C147" s="189"/>
      <c r="D147" s="186"/>
      <c r="E147" s="107"/>
      <c r="G147" s="42"/>
      <c r="H147" s="42"/>
      <c r="I147" s="42"/>
      <c r="J147" s="42"/>
      <c r="K147" s="42"/>
      <c r="L147" s="42"/>
      <c r="M147" s="42"/>
    </row>
    <row r="148">
      <c r="A148" s="181"/>
      <c r="B148" s="178"/>
      <c r="C148" s="182"/>
      <c r="D148" s="180"/>
      <c r="E148" s="107"/>
      <c r="G148" s="42"/>
      <c r="H148" s="42"/>
      <c r="I148" s="42"/>
      <c r="J148" s="42"/>
      <c r="K148" s="42"/>
      <c r="L148" s="42"/>
      <c r="M148" s="42"/>
    </row>
    <row r="149">
      <c r="A149" s="181"/>
      <c r="B149" s="178"/>
      <c r="C149" s="182"/>
      <c r="D149" s="180"/>
      <c r="E149" s="107"/>
      <c r="G149" s="42"/>
      <c r="H149" s="42"/>
      <c r="I149" s="42"/>
      <c r="J149" s="42"/>
      <c r="K149" s="42"/>
      <c r="L149" s="42"/>
      <c r="M149" s="42"/>
    </row>
    <row r="150">
      <c r="A150" s="188"/>
      <c r="B150" s="186"/>
      <c r="C150" s="189"/>
      <c r="D150" s="186"/>
      <c r="E150" s="107"/>
      <c r="G150" s="42"/>
      <c r="H150" s="42"/>
      <c r="I150" s="42"/>
      <c r="J150" s="42"/>
      <c r="K150" s="42"/>
      <c r="L150" s="42"/>
      <c r="M150" s="42"/>
    </row>
    <row r="151">
      <c r="A151" s="181"/>
      <c r="B151" s="178"/>
      <c r="C151" s="182"/>
      <c r="D151" s="180"/>
      <c r="E151" s="107"/>
      <c r="G151" s="42"/>
      <c r="H151" s="42"/>
      <c r="I151" s="42"/>
      <c r="J151" s="42"/>
      <c r="K151" s="42"/>
      <c r="L151" s="42"/>
      <c r="M151" s="42"/>
    </row>
    <row r="152">
      <c r="A152" s="181"/>
      <c r="B152" s="178"/>
      <c r="C152" s="182"/>
      <c r="D152" s="180"/>
      <c r="E152" s="107"/>
      <c r="G152" s="42"/>
      <c r="H152" s="42"/>
      <c r="I152" s="42"/>
      <c r="J152" s="42"/>
      <c r="K152" s="42"/>
      <c r="L152" s="42"/>
      <c r="M152" s="42"/>
    </row>
    <row r="153">
      <c r="A153" s="192"/>
      <c r="B153" s="184"/>
      <c r="C153" s="202"/>
      <c r="D153" s="193"/>
      <c r="E153" s="107"/>
      <c r="G153" s="42"/>
      <c r="H153" s="42"/>
      <c r="I153" s="42"/>
      <c r="J153" s="42"/>
      <c r="K153" s="42"/>
      <c r="L153" s="42"/>
      <c r="M153" s="42"/>
    </row>
    <row r="154">
      <c r="A154" s="181"/>
      <c r="B154" s="205"/>
      <c r="C154" s="183"/>
      <c r="D154" s="183"/>
      <c r="E154" s="107"/>
      <c r="G154" s="42"/>
      <c r="H154" s="42"/>
      <c r="I154" s="42"/>
      <c r="J154" s="42"/>
      <c r="K154" s="42"/>
      <c r="L154" s="42"/>
      <c r="M154" s="42"/>
    </row>
    <row r="155">
      <c r="A155" s="188"/>
      <c r="B155" s="186"/>
      <c r="C155" s="189"/>
      <c r="D155" s="186"/>
      <c r="E155" s="107"/>
      <c r="G155" s="42"/>
      <c r="H155" s="42"/>
      <c r="I155" s="42"/>
      <c r="J155" s="42"/>
      <c r="K155" s="42"/>
      <c r="L155" s="42"/>
      <c r="M155" s="42"/>
    </row>
    <row r="156">
      <c r="A156" s="181"/>
      <c r="B156" s="205"/>
      <c r="C156" s="183"/>
      <c r="D156" s="183"/>
      <c r="E156" s="107"/>
      <c r="G156" s="42"/>
      <c r="H156" s="42"/>
      <c r="I156" s="42"/>
      <c r="J156" s="42"/>
      <c r="K156" s="42"/>
      <c r="L156" s="42"/>
      <c r="M156" s="42"/>
    </row>
    <row r="157">
      <c r="A157" s="188"/>
      <c r="B157" s="186"/>
      <c r="C157" s="189"/>
      <c r="D157" s="186"/>
      <c r="E157" s="107"/>
      <c r="G157" s="42"/>
      <c r="H157" s="42"/>
      <c r="I157" s="42"/>
      <c r="J157" s="42"/>
      <c r="K157" s="42"/>
      <c r="L157" s="42"/>
      <c r="M157" s="42"/>
    </row>
    <row r="158">
      <c r="A158" s="181"/>
      <c r="B158" s="205"/>
      <c r="C158" s="183"/>
      <c r="D158" s="183"/>
      <c r="E158" s="107"/>
      <c r="G158" s="42"/>
      <c r="H158" s="42"/>
      <c r="I158" s="42"/>
      <c r="J158" s="42"/>
      <c r="K158" s="42"/>
      <c r="L158" s="42"/>
      <c r="M158" s="42"/>
    </row>
    <row r="159">
      <c r="A159" s="181"/>
      <c r="B159" s="205"/>
      <c r="C159" s="183"/>
      <c r="D159" s="183"/>
      <c r="E159" s="107"/>
      <c r="G159" s="42"/>
      <c r="H159" s="42"/>
      <c r="I159" s="42"/>
      <c r="J159" s="42"/>
      <c r="K159" s="42"/>
      <c r="L159" s="42"/>
      <c r="M159" s="42"/>
    </row>
    <row r="160">
      <c r="A160" s="181"/>
      <c r="B160" s="205"/>
      <c r="C160" s="183"/>
      <c r="D160" s="183"/>
      <c r="E160" s="107"/>
      <c r="G160" s="42"/>
      <c r="H160" s="42"/>
      <c r="I160" s="42"/>
      <c r="J160" s="42"/>
      <c r="K160" s="42"/>
      <c r="L160" s="42"/>
      <c r="M160" s="42"/>
    </row>
    <row r="161">
      <c r="A161" s="188"/>
      <c r="B161" s="186"/>
      <c r="C161" s="189"/>
      <c r="D161" s="186"/>
      <c r="E161" s="107"/>
      <c r="G161" s="42"/>
      <c r="H161" s="42"/>
      <c r="I161" s="42"/>
      <c r="J161" s="42"/>
      <c r="K161" s="42"/>
      <c r="L161" s="42"/>
      <c r="M161" s="42"/>
    </row>
    <row r="162">
      <c r="A162" s="181"/>
      <c r="B162" s="205"/>
      <c r="C162" s="183"/>
      <c r="D162" s="183"/>
      <c r="E162" s="107"/>
      <c r="G162" s="42"/>
      <c r="H162" s="42"/>
      <c r="I162" s="42"/>
      <c r="J162" s="42"/>
      <c r="K162" s="42"/>
      <c r="L162" s="42"/>
      <c r="M162" s="42"/>
    </row>
    <row r="163">
      <c r="A163" s="181"/>
      <c r="B163" s="205"/>
      <c r="C163" s="183"/>
      <c r="D163" s="183"/>
      <c r="E163" s="107"/>
      <c r="G163" s="42"/>
      <c r="H163" s="42"/>
      <c r="I163" s="42"/>
      <c r="J163" s="42"/>
      <c r="K163" s="42"/>
      <c r="L163" s="42"/>
      <c r="M163" s="42"/>
    </row>
    <row r="164">
      <c r="A164" s="188"/>
      <c r="B164" s="186"/>
      <c r="C164" s="189"/>
      <c r="D164" s="186"/>
      <c r="E164" s="107"/>
      <c r="G164" s="42"/>
      <c r="H164" s="42"/>
      <c r="I164" s="42"/>
      <c r="J164" s="42"/>
      <c r="K164" s="42"/>
      <c r="L164" s="42"/>
      <c r="M164" s="42"/>
    </row>
    <row r="165">
      <c r="A165" s="188"/>
      <c r="B165" s="186"/>
      <c r="C165" s="189"/>
      <c r="D165" s="186"/>
      <c r="E165" s="107"/>
      <c r="G165" s="42"/>
      <c r="H165" s="42"/>
      <c r="I165" s="42"/>
      <c r="J165" s="42"/>
      <c r="K165" s="42"/>
      <c r="L165" s="42"/>
      <c r="M165" s="42"/>
    </row>
    <row r="166">
      <c r="A166" s="181"/>
      <c r="B166" s="178"/>
      <c r="C166" s="182"/>
      <c r="D166" s="183"/>
      <c r="E166" s="107"/>
      <c r="G166" s="42"/>
      <c r="H166" s="42"/>
      <c r="I166" s="42"/>
      <c r="J166" s="42"/>
      <c r="K166" s="42"/>
      <c r="L166" s="42"/>
      <c r="M166" s="42"/>
    </row>
    <row r="167">
      <c r="A167" s="181"/>
      <c r="B167" s="178"/>
      <c r="C167" s="182"/>
      <c r="D167" s="183"/>
      <c r="E167" s="107"/>
      <c r="G167" s="42"/>
      <c r="H167" s="42"/>
      <c r="I167" s="42"/>
      <c r="J167" s="42"/>
      <c r="K167" s="42"/>
      <c r="L167" s="42"/>
      <c r="M167" s="42"/>
    </row>
    <row r="168">
      <c r="A168" s="181"/>
      <c r="B168" s="178"/>
      <c r="C168" s="182"/>
      <c r="D168" s="183"/>
      <c r="E168" s="107"/>
      <c r="G168" s="42"/>
      <c r="H168" s="42"/>
      <c r="I168" s="42"/>
      <c r="J168" s="42"/>
      <c r="K168" s="42"/>
      <c r="L168" s="42"/>
      <c r="M168" s="42"/>
    </row>
    <row r="169">
      <c r="A169" s="181"/>
      <c r="B169" s="178"/>
      <c r="C169" s="182"/>
      <c r="D169" s="183"/>
      <c r="E169" s="107"/>
      <c r="G169" s="42"/>
      <c r="H169" s="42"/>
      <c r="I169" s="42"/>
      <c r="J169" s="42"/>
      <c r="K169" s="42"/>
      <c r="L169" s="42"/>
      <c r="M169" s="42"/>
    </row>
    <row r="170">
      <c r="A170" s="188"/>
      <c r="B170" s="186"/>
      <c r="C170" s="189"/>
      <c r="D170" s="186"/>
      <c r="E170" s="107"/>
      <c r="G170" s="42"/>
      <c r="H170" s="42"/>
      <c r="I170" s="42"/>
      <c r="J170" s="42"/>
      <c r="K170" s="42"/>
      <c r="L170" s="42"/>
      <c r="M170" s="42"/>
    </row>
    <row r="171">
      <c r="A171" s="188"/>
      <c r="B171" s="186"/>
      <c r="C171" s="189"/>
      <c r="D171" s="186"/>
      <c r="E171" s="107"/>
      <c r="G171" s="42"/>
      <c r="H171" s="42"/>
      <c r="I171" s="42"/>
      <c r="J171" s="42"/>
      <c r="K171" s="42"/>
      <c r="L171" s="42"/>
      <c r="M171" s="42"/>
    </row>
    <row r="172">
      <c r="A172" s="188"/>
      <c r="B172" s="186"/>
      <c r="C172" s="189"/>
      <c r="D172" s="186"/>
      <c r="E172" s="107"/>
      <c r="G172" s="42"/>
      <c r="H172" s="42"/>
      <c r="I172" s="42"/>
      <c r="J172" s="42"/>
      <c r="K172" s="42"/>
      <c r="L172" s="42"/>
      <c r="M172" s="42"/>
    </row>
    <row r="173">
      <c r="A173" s="190"/>
      <c r="B173" s="184"/>
      <c r="C173" s="194"/>
      <c r="D173" s="194"/>
      <c r="E173" s="107"/>
      <c r="G173" s="42"/>
      <c r="H173" s="42"/>
      <c r="I173" s="42"/>
      <c r="J173" s="42"/>
      <c r="K173" s="42"/>
      <c r="L173" s="42"/>
      <c r="M173" s="42"/>
    </row>
    <row r="174">
      <c r="A174" s="190"/>
      <c r="B174" s="184"/>
      <c r="C174" s="194"/>
      <c r="D174" s="194"/>
      <c r="E174" s="107"/>
      <c r="G174" s="42"/>
      <c r="H174" s="42"/>
      <c r="I174" s="42"/>
      <c r="J174" s="42"/>
      <c r="K174" s="42"/>
      <c r="L174" s="42"/>
      <c r="M174" s="42"/>
    </row>
    <row r="175">
      <c r="A175" s="188"/>
      <c r="B175" s="186"/>
      <c r="C175" s="189"/>
      <c r="D175" s="186"/>
      <c r="E175" s="107"/>
      <c r="G175" s="42"/>
      <c r="H175" s="42"/>
      <c r="I175" s="42"/>
      <c r="J175" s="42"/>
      <c r="K175" s="42"/>
      <c r="L175" s="42"/>
      <c r="M175" s="42"/>
    </row>
    <row r="176">
      <c r="A176" s="188"/>
      <c r="B176" s="186"/>
      <c r="C176" s="189"/>
      <c r="D176" s="186"/>
      <c r="E176" s="107"/>
      <c r="G176" s="42"/>
      <c r="H176" s="42"/>
      <c r="I176" s="42"/>
      <c r="J176" s="42"/>
      <c r="K176" s="42"/>
      <c r="L176" s="42"/>
      <c r="M176" s="42"/>
    </row>
    <row r="177">
      <c r="A177" s="192"/>
      <c r="B177" s="184"/>
      <c r="C177" s="202"/>
      <c r="D177" s="193"/>
      <c r="E177" s="107"/>
      <c r="G177" s="42"/>
      <c r="H177" s="42"/>
      <c r="I177" s="42"/>
      <c r="J177" s="42"/>
      <c r="K177" s="42"/>
      <c r="L177" s="42"/>
      <c r="M177" s="42"/>
    </row>
    <row r="178">
      <c r="A178" s="188"/>
      <c r="B178" s="186"/>
      <c r="C178" s="189"/>
      <c r="D178" s="186"/>
      <c r="E178" s="107"/>
      <c r="G178" s="42"/>
      <c r="H178" s="42"/>
      <c r="I178" s="42"/>
      <c r="J178" s="42"/>
      <c r="K178" s="42"/>
      <c r="L178" s="42"/>
      <c r="M178" s="42"/>
    </row>
    <row r="179">
      <c r="A179" s="190"/>
      <c r="B179" s="184"/>
      <c r="C179" s="194"/>
      <c r="D179" s="194"/>
      <c r="E179" s="107"/>
      <c r="G179" s="42"/>
      <c r="H179" s="42"/>
      <c r="I179" s="42"/>
      <c r="J179" s="42"/>
      <c r="K179" s="42"/>
      <c r="L179" s="42"/>
      <c r="M179" s="42"/>
    </row>
    <row r="180">
      <c r="A180" s="190"/>
      <c r="B180" s="184"/>
      <c r="C180" s="194"/>
      <c r="D180" s="194"/>
      <c r="E180" s="107"/>
      <c r="G180" s="42"/>
      <c r="H180" s="42"/>
      <c r="I180" s="42"/>
      <c r="J180" s="42"/>
      <c r="K180" s="42"/>
      <c r="L180" s="42"/>
      <c r="M180" s="42"/>
    </row>
    <row r="181">
      <c r="A181" s="188"/>
      <c r="B181" s="186"/>
      <c r="C181" s="189"/>
      <c r="D181" s="186"/>
      <c r="E181" s="107"/>
      <c r="G181" s="42"/>
      <c r="H181" s="42"/>
      <c r="I181" s="42"/>
      <c r="J181" s="42"/>
      <c r="K181" s="42"/>
      <c r="L181" s="42"/>
      <c r="M181" s="42"/>
    </row>
    <row r="182">
      <c r="A182" s="188"/>
      <c r="B182" s="186"/>
      <c r="C182" s="189"/>
      <c r="D182" s="186"/>
      <c r="E182" s="107"/>
      <c r="G182" s="42"/>
      <c r="H182" s="42"/>
      <c r="I182" s="42"/>
      <c r="J182" s="42"/>
      <c r="K182" s="42"/>
      <c r="L182" s="42"/>
      <c r="M182" s="42"/>
    </row>
    <row r="183">
      <c r="A183" s="188"/>
      <c r="B183" s="186"/>
      <c r="C183" s="189"/>
      <c r="D183" s="186"/>
      <c r="E183" s="107"/>
      <c r="G183" s="42"/>
      <c r="H183" s="42"/>
      <c r="I183" s="42"/>
      <c r="J183" s="42"/>
      <c r="K183" s="42"/>
      <c r="L183" s="42"/>
      <c r="M183" s="42"/>
    </row>
    <row r="184">
      <c r="A184" s="188"/>
      <c r="B184" s="186"/>
      <c r="C184" s="189"/>
      <c r="D184" s="186"/>
      <c r="E184" s="107"/>
      <c r="G184" s="42"/>
      <c r="H184" s="42"/>
      <c r="I184" s="42"/>
      <c r="J184" s="42"/>
      <c r="K184" s="42"/>
      <c r="L184" s="42"/>
      <c r="M184" s="42"/>
    </row>
    <row r="185">
      <c r="A185" s="188"/>
      <c r="B185" s="186"/>
      <c r="C185" s="189"/>
      <c r="D185" s="186"/>
      <c r="E185" s="107"/>
      <c r="G185" s="42"/>
      <c r="H185" s="42"/>
      <c r="I185" s="42"/>
      <c r="J185" s="42"/>
      <c r="K185" s="42"/>
      <c r="L185" s="42"/>
      <c r="M185" s="42"/>
    </row>
    <row r="186">
      <c r="A186" s="188"/>
      <c r="B186" s="186"/>
      <c r="C186" s="189"/>
      <c r="D186" s="186"/>
      <c r="E186" s="107"/>
      <c r="G186" s="42"/>
      <c r="H186" s="42"/>
      <c r="I186" s="42"/>
      <c r="J186" s="42"/>
      <c r="K186" s="42"/>
      <c r="L186" s="42"/>
      <c r="M186" s="42"/>
    </row>
    <row r="187">
      <c r="A187" s="190"/>
      <c r="B187" s="184"/>
      <c r="C187" s="194"/>
      <c r="D187" s="194"/>
      <c r="E187" s="107"/>
      <c r="G187" s="42"/>
      <c r="H187" s="42"/>
      <c r="I187" s="42"/>
      <c r="J187" s="42"/>
      <c r="K187" s="42"/>
      <c r="L187" s="42"/>
      <c r="M187" s="42"/>
    </row>
    <row r="188">
      <c r="A188" s="188"/>
      <c r="B188" s="186"/>
      <c r="C188" s="189"/>
      <c r="D188" s="186"/>
      <c r="E188" s="107"/>
      <c r="G188" s="42"/>
      <c r="H188" s="42"/>
      <c r="I188" s="42"/>
      <c r="J188" s="42"/>
      <c r="K188" s="42"/>
      <c r="L188" s="42"/>
      <c r="M188" s="42"/>
    </row>
    <row r="189">
      <c r="A189" s="188"/>
      <c r="B189" s="186"/>
      <c r="C189" s="189"/>
      <c r="D189" s="186"/>
      <c r="E189" s="107"/>
      <c r="G189" s="42"/>
      <c r="H189" s="42"/>
      <c r="I189" s="42"/>
      <c r="J189" s="42"/>
      <c r="K189" s="42"/>
      <c r="L189" s="42"/>
      <c r="M189" s="42"/>
    </row>
    <row r="190">
      <c r="A190" s="188"/>
      <c r="B190" s="186"/>
      <c r="C190" s="189"/>
      <c r="D190" s="186"/>
      <c r="E190" s="107"/>
      <c r="G190" s="42"/>
      <c r="H190" s="42"/>
      <c r="I190" s="42"/>
      <c r="J190" s="42"/>
      <c r="K190" s="42"/>
      <c r="L190" s="42"/>
      <c r="M190" s="42"/>
    </row>
    <row r="191">
      <c r="A191" s="188"/>
      <c r="B191" s="186"/>
      <c r="C191" s="189"/>
      <c r="D191" s="186"/>
      <c r="E191" s="107"/>
      <c r="G191" s="42"/>
      <c r="H191" s="42"/>
      <c r="I191" s="42"/>
      <c r="J191" s="42"/>
      <c r="K191" s="42"/>
      <c r="L191" s="42"/>
      <c r="M191" s="42"/>
    </row>
    <row r="192">
      <c r="A192" s="190"/>
      <c r="B192" s="184"/>
      <c r="C192" s="194"/>
      <c r="D192" s="194"/>
      <c r="E192" s="107"/>
      <c r="G192" s="42"/>
      <c r="H192" s="42"/>
      <c r="I192" s="42"/>
      <c r="J192" s="42"/>
      <c r="K192" s="42"/>
      <c r="L192" s="42"/>
      <c r="M192" s="42"/>
    </row>
    <row r="193">
      <c r="A193" s="174"/>
      <c r="B193" s="175"/>
      <c r="C193" s="176"/>
      <c r="D193" s="175"/>
      <c r="E193" s="107"/>
      <c r="G193" s="42"/>
      <c r="H193" s="42"/>
      <c r="I193" s="42"/>
      <c r="J193" s="42"/>
      <c r="K193" s="42"/>
      <c r="L193" s="42"/>
      <c r="M193" s="42"/>
    </row>
    <row r="194">
      <c r="A194" s="177"/>
      <c r="B194" s="178"/>
      <c r="C194" s="180"/>
      <c r="D194" s="180"/>
      <c r="E194" s="107"/>
      <c r="G194" s="42"/>
      <c r="H194" s="42"/>
      <c r="I194" s="42"/>
      <c r="J194" s="42"/>
      <c r="K194" s="42"/>
      <c r="L194" s="42"/>
      <c r="M194" s="42"/>
    </row>
    <row r="195">
      <c r="A195" s="174"/>
      <c r="B195" s="175"/>
      <c r="C195" s="176"/>
      <c r="D195" s="175"/>
      <c r="E195" s="107"/>
      <c r="G195" s="42"/>
      <c r="H195" s="42"/>
      <c r="I195" s="42"/>
      <c r="J195" s="42"/>
      <c r="K195" s="42"/>
      <c r="L195" s="42"/>
      <c r="M195" s="42"/>
    </row>
    <row r="196">
      <c r="A196" s="174"/>
      <c r="B196" s="175"/>
      <c r="C196" s="176"/>
      <c r="D196" s="175"/>
      <c r="E196" s="107"/>
      <c r="G196" s="42"/>
      <c r="H196" s="42"/>
      <c r="I196" s="42"/>
      <c r="J196" s="42"/>
      <c r="K196" s="42"/>
      <c r="L196" s="42"/>
      <c r="M196" s="42"/>
    </row>
    <row r="197">
      <c r="A197" s="174"/>
      <c r="B197" s="175"/>
      <c r="C197" s="176"/>
      <c r="D197" s="175"/>
      <c r="E197" s="107"/>
      <c r="G197" s="42"/>
      <c r="H197" s="42"/>
      <c r="I197" s="42"/>
      <c r="J197" s="42"/>
      <c r="K197" s="42"/>
      <c r="L197" s="42"/>
      <c r="M197" s="42"/>
    </row>
    <row r="198">
      <c r="A198" s="177"/>
      <c r="B198" s="178"/>
      <c r="C198" s="180"/>
      <c r="D198" s="180"/>
      <c r="E198" s="107"/>
      <c r="G198" s="42"/>
      <c r="H198" s="42"/>
      <c r="I198" s="42"/>
      <c r="J198" s="42"/>
      <c r="K198" s="42"/>
      <c r="L198" s="42"/>
      <c r="M198" s="42"/>
    </row>
    <row r="199">
      <c r="A199" s="181"/>
      <c r="B199" s="178"/>
      <c r="C199" s="182"/>
      <c r="D199" s="183"/>
      <c r="E199" s="107"/>
      <c r="G199" s="42"/>
      <c r="H199" s="42"/>
      <c r="I199" s="42"/>
      <c r="J199" s="42"/>
      <c r="K199" s="42"/>
      <c r="L199" s="42"/>
      <c r="M199" s="42"/>
    </row>
    <row r="200">
      <c r="A200" s="181"/>
      <c r="B200" s="178"/>
      <c r="C200" s="182"/>
      <c r="D200" s="183"/>
      <c r="E200" s="107"/>
      <c r="G200" s="42"/>
      <c r="H200" s="42"/>
      <c r="I200" s="42"/>
      <c r="J200" s="42"/>
      <c r="K200" s="42"/>
      <c r="L200" s="42"/>
      <c r="M200" s="42"/>
    </row>
    <row r="201">
      <c r="A201" s="181"/>
      <c r="B201" s="178"/>
      <c r="C201" s="182"/>
      <c r="D201" s="183"/>
      <c r="E201" s="107"/>
      <c r="G201" s="42"/>
      <c r="H201" s="42"/>
      <c r="I201" s="42"/>
      <c r="J201" s="42"/>
      <c r="K201" s="42"/>
      <c r="L201" s="42"/>
      <c r="M201" s="42"/>
    </row>
    <row r="202">
      <c r="A202" s="177"/>
      <c r="B202" s="178"/>
      <c r="C202" s="180"/>
      <c r="D202" s="180"/>
      <c r="E202" s="107"/>
      <c r="G202" s="42"/>
      <c r="H202" s="42"/>
      <c r="I202" s="42"/>
      <c r="J202" s="42"/>
      <c r="K202" s="42"/>
      <c r="L202" s="42"/>
      <c r="M202" s="42"/>
    </row>
    <row r="203">
      <c r="A203" s="177"/>
      <c r="B203" s="178"/>
      <c r="C203" s="180"/>
      <c r="D203" s="180"/>
      <c r="E203" s="107"/>
      <c r="G203" s="42"/>
      <c r="H203" s="42"/>
      <c r="I203" s="42"/>
      <c r="J203" s="42"/>
      <c r="K203" s="42"/>
      <c r="L203" s="42"/>
      <c r="M203" s="42"/>
    </row>
    <row r="204">
      <c r="A204" s="174"/>
      <c r="B204" s="175"/>
      <c r="C204" s="176"/>
      <c r="D204" s="175"/>
      <c r="E204" s="107"/>
      <c r="G204" s="42"/>
      <c r="H204" s="42"/>
      <c r="I204" s="42"/>
      <c r="J204" s="42"/>
      <c r="K204" s="42"/>
      <c r="L204" s="42"/>
      <c r="M204" s="42"/>
    </row>
    <row r="205">
      <c r="A205" s="174"/>
      <c r="B205" s="175"/>
      <c r="C205" s="176"/>
      <c r="D205" s="175"/>
      <c r="E205" s="107"/>
      <c r="G205" s="42"/>
      <c r="H205" s="42"/>
      <c r="I205" s="42"/>
      <c r="J205" s="42"/>
      <c r="K205" s="42"/>
      <c r="L205" s="42"/>
      <c r="M205" s="42"/>
    </row>
    <row r="206">
      <c r="A206" s="174"/>
      <c r="B206" s="175"/>
      <c r="C206" s="176"/>
      <c r="D206" s="175"/>
      <c r="E206" s="107"/>
      <c r="G206" s="42"/>
      <c r="H206" s="42"/>
      <c r="I206" s="42"/>
      <c r="J206" s="42"/>
      <c r="K206" s="42"/>
      <c r="L206" s="42"/>
      <c r="M206" s="42"/>
    </row>
    <row r="207">
      <c r="A207" s="174"/>
      <c r="B207" s="175"/>
      <c r="C207" s="176"/>
      <c r="D207" s="175"/>
      <c r="E207" s="107"/>
      <c r="G207" s="42"/>
      <c r="H207" s="42"/>
      <c r="I207" s="42"/>
      <c r="J207" s="42"/>
      <c r="K207" s="42"/>
      <c r="L207" s="42"/>
      <c r="M207" s="42"/>
    </row>
    <row r="208">
      <c r="A208" s="174"/>
      <c r="B208" s="175"/>
      <c r="C208" s="176"/>
      <c r="D208" s="175"/>
      <c r="E208" s="107"/>
      <c r="G208" s="42"/>
      <c r="H208" s="42"/>
      <c r="I208" s="42"/>
      <c r="J208" s="42"/>
      <c r="K208" s="42"/>
      <c r="L208" s="42"/>
      <c r="M208" s="42"/>
    </row>
    <row r="209">
      <c r="A209" s="174"/>
      <c r="B209" s="175"/>
      <c r="C209" s="176"/>
      <c r="D209" s="175"/>
      <c r="E209" s="107"/>
      <c r="G209" s="42"/>
      <c r="H209" s="42"/>
      <c r="I209" s="42"/>
      <c r="J209" s="42"/>
      <c r="K209" s="42"/>
      <c r="L209" s="42"/>
      <c r="M209" s="42"/>
    </row>
    <row r="210">
      <c r="A210" s="181"/>
      <c r="B210" s="178"/>
      <c r="C210" s="182"/>
      <c r="D210" s="183"/>
      <c r="E210" s="107"/>
      <c r="G210" s="42"/>
      <c r="H210" s="42"/>
      <c r="I210" s="42"/>
      <c r="J210" s="42"/>
      <c r="K210" s="42"/>
      <c r="L210" s="42"/>
      <c r="M210" s="42"/>
    </row>
    <row r="211">
      <c r="A211" s="181"/>
      <c r="B211" s="178"/>
      <c r="C211" s="182"/>
      <c r="D211" s="183"/>
      <c r="E211" s="107"/>
      <c r="G211" s="42"/>
      <c r="H211" s="42"/>
      <c r="I211" s="42"/>
      <c r="J211" s="42"/>
      <c r="K211" s="42"/>
      <c r="L211" s="42"/>
      <c r="M211" s="42"/>
    </row>
    <row r="212">
      <c r="A212" s="181"/>
      <c r="B212" s="178"/>
      <c r="C212" s="182"/>
      <c r="D212" s="183"/>
      <c r="E212" s="107"/>
      <c r="G212" s="42"/>
      <c r="H212" s="42"/>
      <c r="I212" s="42"/>
      <c r="J212" s="42"/>
      <c r="K212" s="42"/>
      <c r="L212" s="42"/>
      <c r="M212" s="42"/>
    </row>
    <row r="213">
      <c r="A213" s="174"/>
      <c r="B213" s="175"/>
      <c r="C213" s="176"/>
      <c r="D213" s="175"/>
      <c r="E213" s="107"/>
      <c r="G213" s="42"/>
      <c r="H213" s="42"/>
      <c r="I213" s="42"/>
      <c r="J213" s="42"/>
      <c r="K213" s="42"/>
      <c r="L213" s="42"/>
      <c r="M213" s="42"/>
    </row>
    <row r="214">
      <c r="A214" s="174"/>
      <c r="B214" s="175"/>
      <c r="C214" s="176"/>
      <c r="D214" s="175"/>
      <c r="E214" s="107"/>
      <c r="G214" s="42"/>
      <c r="H214" s="42"/>
      <c r="I214" s="42"/>
      <c r="J214" s="42"/>
      <c r="K214" s="42"/>
      <c r="L214" s="42"/>
      <c r="M214" s="42"/>
    </row>
    <row r="215">
      <c r="A215" s="174"/>
      <c r="B215" s="175"/>
      <c r="C215" s="176"/>
      <c r="D215" s="175"/>
      <c r="E215" s="107"/>
      <c r="G215" s="42"/>
      <c r="H215" s="42"/>
      <c r="I215" s="42"/>
      <c r="J215" s="42"/>
      <c r="K215" s="42"/>
      <c r="L215" s="42"/>
      <c r="M215" s="42"/>
    </row>
    <row r="216">
      <c r="A216" s="177"/>
      <c r="B216" s="178"/>
      <c r="C216" s="180"/>
      <c r="D216" s="180"/>
      <c r="E216" s="107"/>
      <c r="G216" s="42"/>
      <c r="H216" s="42"/>
      <c r="I216" s="42"/>
      <c r="J216" s="42"/>
      <c r="K216" s="42"/>
      <c r="L216" s="42"/>
      <c r="M216" s="42"/>
    </row>
    <row r="217">
      <c r="A217" s="177"/>
      <c r="B217" s="178"/>
      <c r="C217" s="180"/>
      <c r="D217" s="180"/>
      <c r="E217" s="107"/>
      <c r="G217" s="42"/>
      <c r="H217" s="42"/>
      <c r="I217" s="42"/>
      <c r="J217" s="42"/>
      <c r="K217" s="42"/>
      <c r="L217" s="42"/>
      <c r="M217" s="42"/>
    </row>
    <row r="218">
      <c r="A218" s="177"/>
      <c r="B218" s="178"/>
      <c r="C218" s="180"/>
      <c r="D218" s="180"/>
      <c r="E218" s="107"/>
      <c r="G218" s="42"/>
      <c r="H218" s="42"/>
      <c r="I218" s="42"/>
      <c r="J218" s="42"/>
      <c r="K218" s="42"/>
      <c r="L218" s="42"/>
      <c r="M218" s="42"/>
    </row>
    <row r="219">
      <c r="A219" s="203"/>
      <c r="B219" s="203"/>
      <c r="C219" s="203"/>
      <c r="D219" s="203"/>
      <c r="E219" s="107"/>
      <c r="G219" s="42"/>
      <c r="H219" s="42"/>
      <c r="I219" s="42"/>
      <c r="J219" s="42"/>
      <c r="K219" s="42"/>
      <c r="L219" s="42"/>
      <c r="M219" s="42"/>
    </row>
    <row r="220">
      <c r="A220" s="203"/>
      <c r="B220" s="203"/>
      <c r="C220" s="203"/>
      <c r="D220" s="203"/>
      <c r="E220" s="107"/>
      <c r="G220" s="42"/>
      <c r="H220" s="42"/>
      <c r="I220" s="42"/>
      <c r="J220" s="42"/>
      <c r="K220" s="42"/>
      <c r="L220" s="42"/>
      <c r="M220" s="42"/>
    </row>
    <row r="221">
      <c r="A221" s="203"/>
      <c r="B221" s="203"/>
      <c r="C221" s="203"/>
      <c r="D221" s="203"/>
      <c r="E221" s="107"/>
      <c r="G221" s="42"/>
      <c r="H221" s="42"/>
      <c r="I221" s="42"/>
      <c r="J221" s="42"/>
      <c r="K221" s="42"/>
      <c r="L221" s="42"/>
      <c r="M221" s="42"/>
    </row>
    <row r="222">
      <c r="A222" s="203"/>
      <c r="B222" s="203"/>
      <c r="C222" s="203"/>
      <c r="D222" s="203"/>
      <c r="E222" s="107"/>
      <c r="G222" s="42"/>
      <c r="H222" s="42"/>
      <c r="I222" s="42"/>
      <c r="J222" s="42"/>
      <c r="K222" s="42"/>
      <c r="L222" s="42"/>
      <c r="M222" s="42"/>
    </row>
    <row r="223">
      <c r="A223" s="203"/>
      <c r="B223" s="203"/>
      <c r="C223" s="203"/>
      <c r="D223" s="203"/>
      <c r="E223" s="107"/>
      <c r="G223" s="42"/>
      <c r="H223" s="42"/>
      <c r="I223" s="42"/>
      <c r="J223" s="42"/>
      <c r="K223" s="42"/>
      <c r="L223" s="42"/>
      <c r="M223" s="42"/>
    </row>
    <row r="224">
      <c r="A224" s="203"/>
      <c r="B224" s="203"/>
      <c r="C224" s="203"/>
      <c r="D224" s="203"/>
      <c r="E224" s="107"/>
      <c r="G224" s="42"/>
      <c r="H224" s="42"/>
      <c r="I224" s="42"/>
      <c r="J224" s="42"/>
      <c r="K224" s="42"/>
      <c r="L224" s="42"/>
      <c r="M224" s="42"/>
    </row>
    <row r="225">
      <c r="A225" s="203"/>
      <c r="B225" s="203"/>
      <c r="C225" s="203"/>
      <c r="D225" s="203"/>
      <c r="E225" s="107"/>
      <c r="G225" s="42"/>
      <c r="H225" s="42"/>
      <c r="I225" s="42"/>
      <c r="J225" s="42"/>
      <c r="K225" s="42"/>
      <c r="L225" s="42"/>
      <c r="M225" s="42"/>
    </row>
    <row r="226">
      <c r="A226" s="203"/>
      <c r="B226" s="203"/>
      <c r="C226" s="203"/>
      <c r="D226" s="203"/>
      <c r="E226" s="107"/>
      <c r="G226" s="42"/>
      <c r="H226" s="42"/>
      <c r="I226" s="42"/>
      <c r="J226" s="42"/>
      <c r="K226" s="42"/>
      <c r="L226" s="42"/>
      <c r="M226" s="42"/>
    </row>
    <row r="227">
      <c r="A227" s="203"/>
      <c r="B227" s="203"/>
      <c r="C227" s="203"/>
      <c r="D227" s="203"/>
      <c r="E227" s="107"/>
      <c r="G227" s="42"/>
      <c r="H227" s="42"/>
      <c r="I227" s="42"/>
      <c r="J227" s="42"/>
      <c r="K227" s="42"/>
      <c r="L227" s="42"/>
      <c r="M227" s="42"/>
    </row>
    <row r="228">
      <c r="A228" s="203"/>
      <c r="B228" s="203"/>
      <c r="C228" s="203"/>
      <c r="D228" s="203"/>
      <c r="E228" s="107"/>
      <c r="G228" s="42"/>
      <c r="H228" s="42"/>
      <c r="I228" s="42"/>
      <c r="J228" s="42"/>
      <c r="K228" s="42"/>
      <c r="L228" s="42"/>
      <c r="M228" s="42"/>
    </row>
    <row r="229">
      <c r="A229" s="203"/>
      <c r="B229" s="203"/>
      <c r="C229" s="203"/>
      <c r="D229" s="203"/>
      <c r="E229" s="132"/>
      <c r="G229" s="42"/>
      <c r="H229" s="42"/>
      <c r="I229" s="42"/>
      <c r="J229" s="42"/>
      <c r="K229" s="42"/>
      <c r="L229" s="42"/>
      <c r="M229" s="42"/>
    </row>
    <row r="230">
      <c r="A230" s="203"/>
      <c r="B230" s="203"/>
      <c r="C230" s="203"/>
      <c r="D230" s="203"/>
      <c r="E230" s="107"/>
      <c r="G230" s="42"/>
      <c r="H230" s="42"/>
      <c r="I230" s="42"/>
      <c r="J230" s="42"/>
      <c r="K230" s="42"/>
      <c r="L230" s="42"/>
      <c r="M230" s="42"/>
    </row>
    <row r="231">
      <c r="A231" s="203"/>
      <c r="B231" s="203"/>
      <c r="C231" s="203"/>
      <c r="D231" s="203"/>
      <c r="E231" s="107"/>
      <c r="G231" s="42"/>
      <c r="H231" s="42"/>
      <c r="I231" s="42"/>
      <c r="J231" s="42"/>
      <c r="K231" s="42"/>
      <c r="L231" s="42"/>
      <c r="M231" s="42"/>
    </row>
    <row r="232">
      <c r="A232" s="203"/>
      <c r="B232" s="203"/>
      <c r="C232" s="203"/>
      <c r="D232" s="203"/>
      <c r="E232" s="107"/>
      <c r="G232" s="42"/>
      <c r="H232" s="42"/>
      <c r="I232" s="42"/>
      <c r="J232" s="42"/>
      <c r="K232" s="42"/>
      <c r="L232" s="42"/>
      <c r="M232" s="42"/>
    </row>
    <row r="233">
      <c r="A233" s="203"/>
      <c r="B233" s="203"/>
      <c r="C233" s="203"/>
      <c r="D233" s="203"/>
      <c r="E233" s="107"/>
      <c r="G233" s="42"/>
      <c r="H233" s="42"/>
      <c r="I233" s="42"/>
      <c r="J233" s="42"/>
      <c r="K233" s="42"/>
      <c r="L233" s="42"/>
      <c r="M233" s="42"/>
    </row>
    <row r="234">
      <c r="A234" s="203"/>
      <c r="B234" s="203"/>
      <c r="C234" s="203"/>
      <c r="D234" s="203"/>
      <c r="E234" s="107"/>
      <c r="G234" s="42"/>
      <c r="H234" s="42"/>
      <c r="I234" s="42"/>
      <c r="J234" s="42"/>
      <c r="K234" s="42"/>
      <c r="L234" s="42"/>
      <c r="M234" s="42"/>
    </row>
    <row r="235">
      <c r="A235" s="203"/>
      <c r="B235" s="203"/>
      <c r="C235" s="203"/>
      <c r="D235" s="203"/>
      <c r="E235" s="107"/>
      <c r="G235" s="42"/>
      <c r="H235" s="42"/>
      <c r="I235" s="42"/>
      <c r="J235" s="42"/>
      <c r="K235" s="42"/>
      <c r="L235" s="42"/>
      <c r="M235" s="42"/>
    </row>
    <row r="236">
      <c r="A236" s="203"/>
      <c r="B236" s="203"/>
      <c r="C236" s="203"/>
      <c r="D236" s="203"/>
      <c r="E236" s="107"/>
      <c r="G236" s="42"/>
      <c r="H236" s="42"/>
      <c r="I236" s="42"/>
      <c r="J236" s="42"/>
      <c r="K236" s="42"/>
      <c r="L236" s="42"/>
      <c r="M236" s="42"/>
    </row>
    <row r="237">
      <c r="A237" s="203"/>
      <c r="B237" s="203"/>
      <c r="C237" s="203"/>
      <c r="D237" s="203"/>
      <c r="E237" s="107"/>
      <c r="G237" s="42"/>
      <c r="H237" s="42"/>
      <c r="I237" s="42"/>
      <c r="J237" s="42"/>
      <c r="K237" s="42"/>
      <c r="L237" s="42"/>
      <c r="M237" s="42"/>
    </row>
    <row r="238">
      <c r="A238" s="181"/>
      <c r="B238" s="178"/>
      <c r="C238" s="182"/>
      <c r="D238" s="183"/>
      <c r="E238" s="107"/>
      <c r="G238" s="42"/>
      <c r="H238" s="42"/>
      <c r="I238" s="42"/>
      <c r="J238" s="42"/>
      <c r="K238" s="42"/>
      <c r="L238" s="42"/>
      <c r="M238" s="42"/>
    </row>
    <row r="239">
      <c r="A239" s="181"/>
      <c r="B239" s="178"/>
      <c r="C239" s="182"/>
      <c r="D239" s="183"/>
      <c r="E239" s="107"/>
      <c r="G239" s="42"/>
      <c r="H239" s="42"/>
      <c r="I239" s="42"/>
      <c r="J239" s="42"/>
      <c r="K239" s="42"/>
      <c r="L239" s="42"/>
      <c r="M239" s="42"/>
    </row>
    <row r="240">
      <c r="A240" s="181"/>
      <c r="B240" s="178"/>
      <c r="C240" s="182"/>
      <c r="D240" s="183"/>
      <c r="E240" s="107"/>
      <c r="G240" s="42"/>
      <c r="H240" s="42"/>
      <c r="I240" s="42"/>
      <c r="J240" s="42"/>
      <c r="K240" s="42"/>
      <c r="L240" s="42"/>
      <c r="M240" s="42"/>
    </row>
    <row r="241">
      <c r="A241" s="181"/>
      <c r="B241" s="178"/>
      <c r="C241" s="182"/>
      <c r="D241" s="183"/>
      <c r="E241" s="107"/>
      <c r="G241" s="42"/>
      <c r="H241" s="42"/>
      <c r="I241" s="42"/>
      <c r="J241" s="42"/>
      <c r="K241" s="42"/>
      <c r="L241" s="42"/>
      <c r="M241" s="42"/>
    </row>
    <row r="242">
      <c r="A242" s="181"/>
      <c r="B242" s="178"/>
      <c r="C242" s="182"/>
      <c r="D242" s="183"/>
      <c r="E242" s="107"/>
      <c r="G242" s="42"/>
      <c r="H242" s="42"/>
      <c r="I242" s="42"/>
      <c r="J242" s="42"/>
      <c r="K242" s="42"/>
      <c r="L242" s="42"/>
      <c r="M242" s="42"/>
    </row>
    <row r="243">
      <c r="A243" s="181"/>
      <c r="B243" s="178"/>
      <c r="C243" s="182"/>
      <c r="D243" s="183"/>
      <c r="E243" s="107"/>
      <c r="G243" s="42"/>
      <c r="H243" s="42"/>
      <c r="I243" s="42"/>
      <c r="J243" s="42"/>
      <c r="K243" s="42"/>
      <c r="L243" s="42"/>
      <c r="M243" s="42"/>
    </row>
    <row r="244">
      <c r="A244" s="181"/>
      <c r="B244" s="178"/>
      <c r="C244" s="182"/>
      <c r="D244" s="183"/>
      <c r="E244" s="107"/>
      <c r="G244" s="42"/>
      <c r="H244" s="42"/>
      <c r="I244" s="42"/>
      <c r="J244" s="42"/>
      <c r="K244" s="42"/>
      <c r="L244" s="42"/>
      <c r="M244" s="42"/>
    </row>
    <row r="245">
      <c r="A245" s="181"/>
      <c r="B245" s="178"/>
      <c r="C245" s="182"/>
      <c r="D245" s="183"/>
      <c r="E245" s="107"/>
      <c r="G245" s="42"/>
      <c r="H245" s="42"/>
      <c r="I245" s="42"/>
      <c r="J245" s="42"/>
      <c r="K245" s="42"/>
      <c r="L245" s="42"/>
      <c r="M245" s="42"/>
    </row>
    <row r="246">
      <c r="A246" s="181"/>
      <c r="B246" s="178"/>
      <c r="C246" s="182"/>
      <c r="D246" s="183"/>
      <c r="E246" s="107"/>
      <c r="G246" s="42"/>
      <c r="H246" s="42"/>
      <c r="I246" s="42"/>
      <c r="J246" s="42"/>
      <c r="K246" s="42"/>
      <c r="L246" s="42"/>
      <c r="M246" s="42"/>
    </row>
    <row r="247">
      <c r="A247" s="181"/>
      <c r="B247" s="178"/>
      <c r="C247" s="182"/>
      <c r="D247" s="183"/>
      <c r="E247" s="107"/>
      <c r="G247" s="42"/>
      <c r="H247" s="42"/>
      <c r="I247" s="42"/>
      <c r="J247" s="42"/>
      <c r="K247" s="42"/>
      <c r="L247" s="42"/>
      <c r="M247" s="42"/>
    </row>
    <row r="248">
      <c r="A248" s="181"/>
      <c r="B248" s="178"/>
      <c r="C248" s="182"/>
      <c r="D248" s="183"/>
      <c r="E248" s="107"/>
      <c r="G248" s="42"/>
      <c r="H248" s="42"/>
      <c r="I248" s="42"/>
      <c r="J248" s="42"/>
      <c r="K248" s="42"/>
      <c r="L248" s="42"/>
      <c r="M248" s="42"/>
    </row>
    <row r="249">
      <c r="A249" s="181"/>
      <c r="B249" s="178"/>
      <c r="C249" s="182"/>
      <c r="D249" s="183"/>
      <c r="E249" s="107"/>
      <c r="G249" s="42"/>
      <c r="H249" s="42"/>
      <c r="I249" s="42"/>
      <c r="J249" s="42"/>
      <c r="K249" s="42"/>
      <c r="L249" s="42"/>
      <c r="M249" s="42"/>
    </row>
    <row r="250">
      <c r="A250" s="181"/>
      <c r="B250" s="178"/>
      <c r="C250" s="182"/>
      <c r="D250" s="183"/>
      <c r="E250" s="107"/>
      <c r="G250" s="42"/>
      <c r="H250" s="42"/>
      <c r="I250" s="42"/>
      <c r="J250" s="42"/>
      <c r="K250" s="42"/>
      <c r="L250" s="42"/>
      <c r="M250" s="42"/>
    </row>
    <row r="251">
      <c r="A251" s="44"/>
      <c r="B251" s="113"/>
      <c r="C251" s="93"/>
      <c r="D251" s="41"/>
      <c r="E251" s="107"/>
      <c r="G251" s="42"/>
      <c r="H251" s="42"/>
      <c r="I251" s="42"/>
      <c r="J251" s="42"/>
      <c r="K251" s="42"/>
      <c r="L251" s="42"/>
      <c r="M251" s="42"/>
    </row>
    <row r="252">
      <c r="A252" s="44"/>
      <c r="B252" s="113"/>
      <c r="C252" s="93"/>
      <c r="D252" s="41"/>
      <c r="E252" s="107"/>
      <c r="G252" s="42"/>
      <c r="H252" s="42"/>
      <c r="I252" s="42"/>
      <c r="J252" s="42"/>
      <c r="K252" s="42"/>
      <c r="L252" s="42"/>
      <c r="M252" s="42"/>
    </row>
    <row r="253">
      <c r="A253" s="44"/>
      <c r="B253" s="113"/>
      <c r="C253" s="93"/>
      <c r="D253" s="41"/>
      <c r="E253" s="107"/>
      <c r="G253" s="42"/>
      <c r="H253" s="42"/>
      <c r="I253" s="42"/>
      <c r="J253" s="42"/>
      <c r="K253" s="42"/>
      <c r="L253" s="42"/>
      <c r="M253" s="42"/>
    </row>
    <row r="254">
      <c r="A254" s="44"/>
      <c r="B254" s="113"/>
      <c r="C254" s="93"/>
      <c r="D254" s="41"/>
      <c r="E254" s="107"/>
      <c r="G254" s="42"/>
      <c r="H254" s="42"/>
      <c r="I254" s="42"/>
      <c r="J254" s="42"/>
      <c r="K254" s="42"/>
      <c r="L254" s="42"/>
      <c r="M254" s="42"/>
    </row>
  </sheetData>
  <autoFilter ref="$A$33:$D$100">
    <sortState ref="A33:D100">
      <sortCondition descending="1" ref="C33:C100"/>
      <sortCondition ref="A33:A100"/>
    </sortState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9 D34 D38 D55 D61 D72:D73 B32:B100 B107:B110 D140 D143 D145 D147 D150 D155 D157 D161 D164:D165 D170:D172 D175:D176 D178 D181:D186 D188:D191 D193 B115:B196 D195:D197 D204:D209 D213:D215 B198:B218 B238:B254">
      <formula1>'Hidden list and Figures'!$A$3:$A$15</formula1>
    </dataValidation>
    <dataValidation type="custom" allowBlank="1" showDropDown="1" showInputMessage="1" prompt="Select a date" sqref="A34:A51 A53:A55 A58 A60:A63 A66 A68:A100 A107:A110 A115:A218 A238:A254">
      <formula1>OR(NOT(ISERROR(DATEVALUE(A34))), AND(ISNUMBER(A34), LEFT(CELL("format", A34))="D"))</formula1>
    </dataValidation>
    <dataValidation type="list" allowBlank="1" sqref="B197">
      <formula1>'Hidden list and Figures'!$A$3:$A$15</formula1>
    </dataValidation>
  </dataValidations>
  <hyperlinks>
    <hyperlink r:id="rId1" ref="D90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sumif($B$20:$C$543,A6,$C$20:$C$543)</f>
        <v>1732.69</v>
      </c>
      <c r="D6" s="17">
        <f t="shared" ref="D6:D16" si="2">B6-C6</f>
        <v>930.99</v>
      </c>
      <c r="E6" s="18">
        <f t="shared" ref="E6:E17" si="3">D6/B6</f>
        <v>0.3495127042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3566.0</v>
      </c>
    </row>
    <row r="8">
      <c r="A8" s="21" t="s">
        <v>14</v>
      </c>
      <c r="B8" s="22">
        <v>250.0</v>
      </c>
      <c r="C8" s="16">
        <f t="shared" si="1"/>
        <v>0</v>
      </c>
      <c r="D8" s="23">
        <f t="shared" si="2"/>
        <v>250</v>
      </c>
      <c r="E8" s="18">
        <f t="shared" si="3"/>
        <v>1</v>
      </c>
      <c r="G8" s="64" t="s">
        <v>27</v>
      </c>
      <c r="H8" s="92">
        <f>SUM(H6:H7)</f>
        <v>3566</v>
      </c>
    </row>
    <row r="9">
      <c r="A9" s="24" t="s">
        <v>15</v>
      </c>
      <c r="B9" s="22">
        <v>400.0</v>
      </c>
      <c r="C9" s="16">
        <f t="shared" si="1"/>
        <v>393.81</v>
      </c>
      <c r="D9" s="23">
        <f t="shared" si="2"/>
        <v>6.19</v>
      </c>
      <c r="E9" s="18">
        <f t="shared" si="3"/>
        <v>0.015475</v>
      </c>
    </row>
    <row r="10">
      <c r="A10" s="24" t="s">
        <v>17</v>
      </c>
      <c r="B10" s="22">
        <v>400.0</v>
      </c>
      <c r="C10" s="16">
        <f t="shared" si="1"/>
        <v>3116.06</v>
      </c>
      <c r="D10" s="23">
        <f t="shared" si="2"/>
        <v>-2716.06</v>
      </c>
      <c r="E10" s="18">
        <f t="shared" si="3"/>
        <v>-6.79015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5277.44</v>
      </c>
      <c r="D11" s="23">
        <f t="shared" si="2"/>
        <v>-5077.44</v>
      </c>
      <c r="E11" s="18">
        <f t="shared" si="3"/>
        <v>-25.3872</v>
      </c>
      <c r="G11" s="19" t="s">
        <v>18</v>
      </c>
      <c r="H11" s="14">
        <f>sum(C17)</f>
        <v>11737.64</v>
      </c>
    </row>
    <row r="12">
      <c r="A12" s="24" t="s">
        <v>79</v>
      </c>
      <c r="B12" s="22">
        <v>500.0</v>
      </c>
      <c r="C12" s="16">
        <f t="shared" si="1"/>
        <v>406.09</v>
      </c>
      <c r="D12" s="23">
        <f t="shared" si="2"/>
        <v>93.91</v>
      </c>
      <c r="E12" s="18">
        <f t="shared" si="3"/>
        <v>0.18782</v>
      </c>
      <c r="H12" s="14"/>
    </row>
    <row r="13">
      <c r="A13" s="25" t="s">
        <v>22</v>
      </c>
      <c r="B13" s="22">
        <v>200.0</v>
      </c>
      <c r="C13" s="16">
        <f t="shared" si="1"/>
        <v>247.49</v>
      </c>
      <c r="D13" s="23">
        <f t="shared" si="2"/>
        <v>-47.49</v>
      </c>
      <c r="E13" s="18">
        <f t="shared" si="3"/>
        <v>-0.23745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250.46</v>
      </c>
      <c r="D14" s="23">
        <f t="shared" si="2"/>
        <v>-250.46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313.6</v>
      </c>
      <c r="D15" s="28">
        <f t="shared" si="2"/>
        <v>-13.6</v>
      </c>
      <c r="E15" s="18">
        <f t="shared" si="3"/>
        <v>-0.04533333333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SUMIF($B$20:$C$257,"Travel",$C$20:$C$257)</f>
        <v>406.09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11737.64</v>
      </c>
      <c r="D17" s="31">
        <f>SUM(D6:D15)</f>
        <v>-6823.96</v>
      </c>
      <c r="E17" s="18">
        <f t="shared" si="3"/>
        <v>-1.388767685</v>
      </c>
      <c r="F17" s="36"/>
      <c r="G17" s="13" t="s">
        <v>28</v>
      </c>
      <c r="H17" s="33">
        <f>500-SUMIF($B$20:$C$257,"Travel",$C$20:$C$257)+'April 2024'!H17</f>
        <v>597.15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87.0</v>
      </c>
      <c r="D21" s="95" t="s">
        <v>36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102">
        <v>40.0</v>
      </c>
      <c r="D22" s="41" t="s">
        <v>23</v>
      </c>
      <c r="E22" s="41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2.87</v>
      </c>
      <c r="D23" s="41" t="s">
        <v>39</v>
      </c>
      <c r="E23" s="41"/>
      <c r="G23" s="42"/>
      <c r="H23" s="40"/>
      <c r="I23" s="42"/>
      <c r="J23" s="40"/>
      <c r="K23" s="42"/>
      <c r="L23" s="42"/>
      <c r="M23" s="42"/>
    </row>
    <row r="24">
      <c r="A24" s="40" t="s">
        <v>32</v>
      </c>
      <c r="B24" s="40" t="s">
        <v>10</v>
      </c>
      <c r="C24" s="41">
        <v>2.99</v>
      </c>
      <c r="D24" s="41" t="s">
        <v>40</v>
      </c>
      <c r="E24" s="41"/>
      <c r="G24" s="40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5.83</v>
      </c>
      <c r="D25" s="41" t="s">
        <v>41</v>
      </c>
      <c r="E25" s="41"/>
      <c r="G25" s="40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6.0</v>
      </c>
      <c r="D26" s="41" t="s">
        <v>83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112.0</v>
      </c>
      <c r="D27" s="41" t="s">
        <v>42</v>
      </c>
      <c r="E27" s="41"/>
      <c r="G27" s="42"/>
      <c r="H27" s="40"/>
      <c r="I27" s="42"/>
      <c r="J27" s="42"/>
      <c r="K27" s="42"/>
      <c r="L27" s="42"/>
      <c r="M27" s="42"/>
    </row>
    <row r="28">
      <c r="E28" s="41"/>
      <c r="G28" s="40"/>
      <c r="H28" s="42"/>
      <c r="I28" s="42"/>
      <c r="J28" s="42"/>
      <c r="K28" s="42"/>
      <c r="L28" s="42"/>
      <c r="M28" s="42"/>
    </row>
    <row r="29">
      <c r="E29" s="41"/>
      <c r="G29" s="42"/>
      <c r="H29" s="42"/>
      <c r="I29" s="42"/>
      <c r="J29" s="42"/>
      <c r="K29" s="42"/>
      <c r="L29" s="42"/>
      <c r="M29" s="42"/>
    </row>
    <row r="30">
      <c r="A30" s="43"/>
      <c r="B30" s="40"/>
      <c r="C30" s="41"/>
      <c r="D30" s="41"/>
      <c r="E30" s="41"/>
      <c r="G30" s="40"/>
      <c r="H30" s="42"/>
      <c r="I30" s="42"/>
      <c r="J30" s="42"/>
      <c r="K30" s="42"/>
      <c r="L30" s="42"/>
      <c r="M30" s="42"/>
    </row>
    <row r="31">
      <c r="A31" s="44"/>
      <c r="B31" s="40"/>
      <c r="C31" s="41"/>
      <c r="D31" s="41"/>
      <c r="E31" s="41"/>
      <c r="G31" s="40"/>
      <c r="H31" s="42"/>
      <c r="I31" s="42"/>
      <c r="J31" s="42"/>
      <c r="K31" s="42"/>
      <c r="L31" s="42"/>
      <c r="M31" s="42"/>
    </row>
    <row r="32">
      <c r="A32" s="197">
        <v>45718.0</v>
      </c>
      <c r="B32" s="198" t="s">
        <v>15</v>
      </c>
      <c r="C32" s="199">
        <f>200</f>
        <v>200</v>
      </c>
      <c r="D32" s="198" t="s">
        <v>825</v>
      </c>
      <c r="E32" s="137"/>
      <c r="G32" s="42"/>
      <c r="H32" s="42"/>
      <c r="I32" s="42"/>
      <c r="J32" s="42"/>
      <c r="K32" s="42"/>
      <c r="L32" s="42"/>
      <c r="M32" s="42"/>
    </row>
    <row r="33">
      <c r="A33" s="197">
        <v>45718.0</v>
      </c>
      <c r="B33" s="198" t="s">
        <v>19</v>
      </c>
      <c r="C33" s="199">
        <v>10.61</v>
      </c>
      <c r="D33" s="200" t="s">
        <v>1073</v>
      </c>
      <c r="E33" s="137"/>
      <c r="G33" s="42"/>
      <c r="H33" s="42"/>
      <c r="I33" s="42"/>
      <c r="J33" s="42"/>
      <c r="K33" s="42"/>
      <c r="L33" s="42"/>
      <c r="M33" s="42"/>
    </row>
    <row r="34">
      <c r="A34" s="197">
        <v>45718.0</v>
      </c>
      <c r="B34" s="198" t="s">
        <v>15</v>
      </c>
      <c r="C34" s="199">
        <v>9.99</v>
      </c>
      <c r="D34" s="200" t="s">
        <v>936</v>
      </c>
      <c r="E34" s="137"/>
      <c r="G34" s="42"/>
      <c r="H34" s="42"/>
      <c r="I34" s="42"/>
      <c r="J34" s="42"/>
      <c r="K34" s="42"/>
      <c r="L34" s="42"/>
      <c r="M34" s="42"/>
    </row>
    <row r="35">
      <c r="A35" s="197">
        <v>45718.0</v>
      </c>
      <c r="B35" s="198" t="s">
        <v>24</v>
      </c>
      <c r="C35" s="199">
        <v>49.0</v>
      </c>
      <c r="D35" s="198" t="s">
        <v>1074</v>
      </c>
      <c r="E35" s="137"/>
      <c r="G35" s="42"/>
      <c r="H35" s="42"/>
      <c r="I35" s="42"/>
      <c r="J35" s="42"/>
      <c r="K35" s="42"/>
      <c r="L35" s="42"/>
      <c r="M35" s="42"/>
    </row>
    <row r="36">
      <c r="A36" s="197">
        <v>45719.0</v>
      </c>
      <c r="B36" s="198" t="s">
        <v>17</v>
      </c>
      <c r="C36" s="199">
        <v>16.65</v>
      </c>
      <c r="D36" s="200" t="s">
        <v>1075</v>
      </c>
      <c r="E36" s="137"/>
      <c r="G36" s="42"/>
      <c r="H36" s="42"/>
      <c r="I36" s="42"/>
      <c r="J36" s="42"/>
      <c r="K36" s="42"/>
      <c r="L36" s="42"/>
      <c r="M36" s="42"/>
    </row>
    <row r="37">
      <c r="A37" s="197">
        <v>45720.0</v>
      </c>
      <c r="B37" s="198" t="s">
        <v>19</v>
      </c>
      <c r="C37" s="199">
        <v>35.42</v>
      </c>
      <c r="D37" s="200" t="s">
        <v>1076</v>
      </c>
      <c r="E37" s="137"/>
      <c r="G37" s="42"/>
      <c r="H37" s="42"/>
      <c r="I37" s="42"/>
      <c r="J37" s="42"/>
      <c r="K37" s="42"/>
      <c r="L37" s="42"/>
      <c r="M37" s="42"/>
    </row>
    <row r="38">
      <c r="A38" s="197">
        <v>45720.0</v>
      </c>
      <c r="B38" s="198" t="s">
        <v>25</v>
      </c>
      <c r="C38" s="199">
        <v>80.0</v>
      </c>
      <c r="D38" s="200" t="s">
        <v>1077</v>
      </c>
      <c r="E38" s="137"/>
      <c r="G38" s="42"/>
      <c r="H38" s="42"/>
      <c r="I38" s="42"/>
      <c r="J38" s="42"/>
      <c r="K38" s="42"/>
      <c r="L38" s="42"/>
      <c r="M38" s="42"/>
    </row>
    <row r="39">
      <c r="A39" s="197">
        <v>45720.0</v>
      </c>
      <c r="B39" s="198" t="s">
        <v>17</v>
      </c>
      <c r="C39" s="199">
        <v>30.0</v>
      </c>
      <c r="D39" s="200" t="s">
        <v>1078</v>
      </c>
      <c r="E39" s="137"/>
      <c r="G39" s="42"/>
      <c r="H39" s="42"/>
      <c r="I39" s="42"/>
      <c r="J39" s="42"/>
      <c r="K39" s="42"/>
      <c r="L39" s="42"/>
      <c r="M39" s="42"/>
    </row>
    <row r="40">
      <c r="A40" s="197">
        <v>45721.0</v>
      </c>
      <c r="B40" s="198" t="s">
        <v>17</v>
      </c>
      <c r="C40" s="199">
        <v>93.77</v>
      </c>
      <c r="D40" s="200" t="s">
        <v>1079</v>
      </c>
      <c r="E40" s="137"/>
      <c r="G40" s="42"/>
      <c r="H40" s="42"/>
      <c r="I40" s="42"/>
      <c r="J40" s="42"/>
      <c r="K40" s="42"/>
      <c r="L40" s="42"/>
      <c r="M40" s="42"/>
    </row>
    <row r="41">
      <c r="A41" s="197">
        <v>45721.0</v>
      </c>
      <c r="B41" s="198" t="s">
        <v>17</v>
      </c>
      <c r="C41" s="199">
        <v>21.35</v>
      </c>
      <c r="D41" s="200" t="s">
        <v>1080</v>
      </c>
      <c r="E41" s="164"/>
      <c r="G41" s="42"/>
      <c r="H41" s="42"/>
      <c r="I41" s="42"/>
      <c r="J41" s="42"/>
      <c r="K41" s="42"/>
      <c r="L41" s="42"/>
      <c r="M41" s="42"/>
    </row>
    <row r="42">
      <c r="A42" s="197">
        <v>45721.0</v>
      </c>
      <c r="B42" s="198" t="s">
        <v>17</v>
      </c>
      <c r="C42" s="199">
        <v>52.0</v>
      </c>
      <c r="D42" s="200" t="s">
        <v>1081</v>
      </c>
      <c r="E42" s="137"/>
      <c r="G42" s="42"/>
      <c r="H42" s="42"/>
      <c r="I42" s="42"/>
      <c r="J42" s="42"/>
      <c r="K42" s="42"/>
      <c r="L42" s="42"/>
      <c r="M42" s="42"/>
    </row>
    <row r="43">
      <c r="A43" s="197">
        <v>45722.0</v>
      </c>
      <c r="B43" s="198" t="s">
        <v>17</v>
      </c>
      <c r="C43" s="199">
        <v>103.34</v>
      </c>
      <c r="D43" s="200" t="s">
        <v>1049</v>
      </c>
      <c r="E43" s="137"/>
      <c r="G43" s="42"/>
      <c r="H43" s="42"/>
      <c r="I43" s="42"/>
      <c r="J43" s="42"/>
      <c r="K43" s="42"/>
      <c r="L43" s="42"/>
      <c r="M43" s="42"/>
    </row>
    <row r="44">
      <c r="A44" s="197">
        <v>45722.0</v>
      </c>
      <c r="B44" s="198" t="s">
        <v>17</v>
      </c>
      <c r="C44" s="199">
        <v>46.27</v>
      </c>
      <c r="D44" s="200" t="s">
        <v>1079</v>
      </c>
      <c r="E44" s="137"/>
      <c r="G44" s="42"/>
      <c r="H44" s="42"/>
      <c r="I44" s="42"/>
      <c r="J44" s="42"/>
      <c r="K44" s="42"/>
      <c r="L44" s="42"/>
      <c r="M44" s="42"/>
    </row>
    <row r="45">
      <c r="A45" s="197">
        <v>45723.0</v>
      </c>
      <c r="B45" s="198" t="s">
        <v>17</v>
      </c>
      <c r="C45" s="199">
        <v>18.88</v>
      </c>
      <c r="D45" s="200" t="s">
        <v>1082</v>
      </c>
      <c r="E45" s="137"/>
      <c r="G45" s="42"/>
      <c r="H45" s="42"/>
      <c r="I45" s="42"/>
      <c r="J45" s="42"/>
      <c r="K45" s="42"/>
      <c r="L45" s="42"/>
      <c r="M45" s="42"/>
    </row>
    <row r="46">
      <c r="A46" s="197">
        <v>45723.0</v>
      </c>
      <c r="B46" s="198" t="s">
        <v>25</v>
      </c>
      <c r="C46" s="199">
        <v>4.16</v>
      </c>
      <c r="D46" s="200" t="s">
        <v>1083</v>
      </c>
      <c r="E46" s="137"/>
      <c r="G46" s="42"/>
      <c r="H46" s="42"/>
      <c r="I46" s="42"/>
      <c r="J46" s="42"/>
      <c r="K46" s="42"/>
      <c r="L46" s="42"/>
      <c r="M46" s="42"/>
    </row>
    <row r="47">
      <c r="A47" s="197">
        <v>45725.0</v>
      </c>
      <c r="B47" s="198" t="s">
        <v>19</v>
      </c>
      <c r="C47" s="199">
        <v>1.25</v>
      </c>
      <c r="D47" s="200" t="s">
        <v>807</v>
      </c>
      <c r="E47" s="137"/>
      <c r="G47" s="42"/>
      <c r="H47" s="42"/>
      <c r="I47" s="42"/>
      <c r="J47" s="42"/>
      <c r="K47" s="42"/>
      <c r="L47" s="42"/>
      <c r="M47" s="42"/>
    </row>
    <row r="48">
      <c r="A48" s="206">
        <v>45725.0</v>
      </c>
      <c r="B48" s="198" t="s">
        <v>19</v>
      </c>
      <c r="C48" s="199">
        <v>1.25</v>
      </c>
      <c r="D48" s="200" t="s">
        <v>807</v>
      </c>
      <c r="E48" s="107"/>
      <c r="G48" s="42"/>
      <c r="H48" s="42"/>
      <c r="I48" s="42"/>
      <c r="J48" s="42"/>
      <c r="K48" s="42"/>
      <c r="L48" s="42"/>
      <c r="M48" s="42"/>
    </row>
    <row r="49">
      <c r="A49" s="197">
        <v>45725.0</v>
      </c>
      <c r="B49" s="198" t="s">
        <v>19</v>
      </c>
      <c r="C49" s="199">
        <v>1.25</v>
      </c>
      <c r="D49" s="200" t="s">
        <v>807</v>
      </c>
      <c r="E49" s="107"/>
      <c r="G49" s="42"/>
      <c r="H49" s="42"/>
      <c r="I49" s="42"/>
      <c r="J49" s="42"/>
      <c r="K49" s="42"/>
      <c r="L49" s="42"/>
      <c r="M49" s="42"/>
    </row>
    <row r="50">
      <c r="A50" s="197">
        <v>45725.0</v>
      </c>
      <c r="B50" s="198" t="s">
        <v>79</v>
      </c>
      <c r="C50" s="199">
        <v>5.6</v>
      </c>
      <c r="D50" s="200" t="s">
        <v>1084</v>
      </c>
      <c r="E50" s="107"/>
      <c r="G50" s="42"/>
      <c r="H50" s="42"/>
      <c r="I50" s="42"/>
      <c r="J50" s="42"/>
      <c r="K50" s="42"/>
      <c r="L50" s="42"/>
      <c r="M50" s="42"/>
    </row>
    <row r="51">
      <c r="A51" s="207">
        <v>45725.0</v>
      </c>
      <c r="B51" s="198" t="s">
        <v>19</v>
      </c>
      <c r="C51" s="208">
        <v>1.25</v>
      </c>
      <c r="D51" s="198" t="s">
        <v>807</v>
      </c>
      <c r="E51" s="107"/>
      <c r="G51" s="42"/>
      <c r="H51" s="42"/>
      <c r="I51" s="42"/>
      <c r="J51" s="42"/>
      <c r="K51" s="42"/>
      <c r="L51" s="42"/>
      <c r="M51" s="42"/>
    </row>
    <row r="52">
      <c r="A52" s="197">
        <v>45725.0</v>
      </c>
      <c r="B52" s="198" t="s">
        <v>19</v>
      </c>
      <c r="C52" s="199">
        <v>1.25</v>
      </c>
      <c r="D52" s="200" t="s">
        <v>807</v>
      </c>
      <c r="E52" s="107"/>
      <c r="G52" s="42"/>
      <c r="H52" s="42"/>
      <c r="I52" s="42"/>
      <c r="J52" s="42"/>
      <c r="K52" s="42"/>
      <c r="L52" s="42"/>
      <c r="M52" s="42"/>
    </row>
    <row r="53">
      <c r="A53" s="207">
        <v>45725.0</v>
      </c>
      <c r="B53" s="198" t="s">
        <v>79</v>
      </c>
      <c r="C53" s="208">
        <v>60.68</v>
      </c>
      <c r="D53" s="198" t="s">
        <v>1085</v>
      </c>
      <c r="E53" s="107"/>
      <c r="G53" s="42"/>
      <c r="H53" s="42"/>
      <c r="I53" s="42"/>
      <c r="J53" s="42"/>
      <c r="K53" s="42"/>
      <c r="L53" s="42"/>
      <c r="M53" s="42"/>
    </row>
    <row r="54">
      <c r="A54" s="197">
        <v>45725.0</v>
      </c>
      <c r="B54" s="198" t="s">
        <v>79</v>
      </c>
      <c r="C54" s="199">
        <v>34.07</v>
      </c>
      <c r="D54" s="200" t="s">
        <v>1085</v>
      </c>
      <c r="E54" s="107"/>
      <c r="G54" s="42"/>
      <c r="H54" s="42"/>
      <c r="I54" s="42"/>
      <c r="J54" s="42"/>
      <c r="K54" s="42"/>
      <c r="L54" s="42"/>
      <c r="M54" s="42"/>
    </row>
    <row r="55">
      <c r="A55" s="197">
        <v>45725.0</v>
      </c>
      <c r="B55" s="198" t="s">
        <v>79</v>
      </c>
      <c r="C55" s="199">
        <v>54.22</v>
      </c>
      <c r="D55" s="198" t="s">
        <v>1085</v>
      </c>
      <c r="E55" s="107"/>
      <c r="G55" s="42"/>
      <c r="H55" s="42"/>
      <c r="I55" s="42"/>
      <c r="J55" s="42"/>
      <c r="K55" s="42"/>
      <c r="L55" s="42"/>
      <c r="M55" s="42"/>
    </row>
    <row r="56">
      <c r="A56" s="197">
        <v>45725.0</v>
      </c>
      <c r="B56" s="198" t="s">
        <v>79</v>
      </c>
      <c r="C56" s="199">
        <v>-5.6</v>
      </c>
      <c r="D56" s="200" t="s">
        <v>1086</v>
      </c>
      <c r="E56" s="107"/>
      <c r="G56" s="42"/>
      <c r="H56" s="42"/>
      <c r="I56" s="42"/>
      <c r="J56" s="42"/>
      <c r="K56" s="42"/>
      <c r="L56" s="42"/>
      <c r="M56" s="42"/>
    </row>
    <row r="57">
      <c r="A57" s="197">
        <v>45725.0</v>
      </c>
      <c r="B57" s="198" t="s">
        <v>79</v>
      </c>
      <c r="C57" s="199">
        <v>34.07</v>
      </c>
      <c r="D57" s="200" t="s">
        <v>1085</v>
      </c>
      <c r="E57" s="107"/>
      <c r="G57" s="42"/>
      <c r="H57" s="42"/>
      <c r="I57" s="42"/>
      <c r="J57" s="42"/>
      <c r="K57" s="42"/>
      <c r="L57" s="42"/>
      <c r="M57" s="42"/>
    </row>
    <row r="58">
      <c r="A58" s="207">
        <v>45725.0</v>
      </c>
      <c r="B58" s="198" t="s">
        <v>19</v>
      </c>
      <c r="C58" s="208">
        <v>43.32</v>
      </c>
      <c r="D58" s="198" t="s">
        <v>1087</v>
      </c>
      <c r="E58" s="107"/>
      <c r="G58" s="42"/>
      <c r="H58" s="42"/>
      <c r="I58" s="42"/>
      <c r="J58" s="42"/>
      <c r="K58" s="42"/>
      <c r="L58" s="42"/>
      <c r="M58" s="42"/>
    </row>
    <row r="59">
      <c r="A59" s="197">
        <v>45726.0</v>
      </c>
      <c r="B59" s="198" t="s">
        <v>79</v>
      </c>
      <c r="C59" s="199">
        <v>63.21</v>
      </c>
      <c r="D59" s="200" t="s">
        <v>1088</v>
      </c>
      <c r="E59" s="107"/>
      <c r="G59" s="42"/>
      <c r="H59" s="42"/>
      <c r="I59" s="42"/>
      <c r="J59" s="42"/>
      <c r="K59" s="42"/>
      <c r="L59" s="42"/>
      <c r="M59" s="42"/>
    </row>
    <row r="60">
      <c r="A60" s="197">
        <v>45726.0</v>
      </c>
      <c r="B60" s="198" t="s">
        <v>19</v>
      </c>
      <c r="C60" s="199">
        <v>95.18</v>
      </c>
      <c r="D60" s="200" t="s">
        <v>1089</v>
      </c>
      <c r="E60" s="107"/>
      <c r="G60" s="42"/>
      <c r="H60" s="42"/>
      <c r="I60" s="42"/>
      <c r="J60" s="42"/>
      <c r="K60" s="42"/>
      <c r="L60" s="42"/>
      <c r="M60" s="42"/>
    </row>
    <row r="61">
      <c r="A61" s="197">
        <v>45727.0</v>
      </c>
      <c r="B61" s="198" t="s">
        <v>79</v>
      </c>
      <c r="C61" s="199">
        <v>-5.6</v>
      </c>
      <c r="D61" s="198" t="s">
        <v>1084</v>
      </c>
      <c r="E61" s="107"/>
      <c r="G61" s="42"/>
      <c r="H61" s="42"/>
      <c r="I61" s="42"/>
      <c r="J61" s="42"/>
      <c r="K61" s="42"/>
      <c r="L61" s="42"/>
      <c r="M61" s="42"/>
    </row>
    <row r="62">
      <c r="A62" s="197">
        <v>45729.0</v>
      </c>
      <c r="B62" s="198" t="s">
        <v>22</v>
      </c>
      <c r="C62" s="199">
        <v>2.4</v>
      </c>
      <c r="D62" s="209" t="s">
        <v>1059</v>
      </c>
      <c r="E62" s="107"/>
      <c r="G62" s="42"/>
      <c r="H62" s="42"/>
      <c r="I62" s="42"/>
      <c r="J62" s="42"/>
      <c r="K62" s="42"/>
      <c r="L62" s="42"/>
      <c r="M62" s="42"/>
    </row>
    <row r="63">
      <c r="A63" s="197">
        <v>45729.0</v>
      </c>
      <c r="B63" s="198" t="s">
        <v>19</v>
      </c>
      <c r="C63" s="199">
        <v>9.55</v>
      </c>
      <c r="D63" s="200" t="s">
        <v>1090</v>
      </c>
      <c r="E63" s="107"/>
      <c r="G63" s="42"/>
      <c r="H63" s="42"/>
      <c r="I63" s="42"/>
      <c r="J63" s="42"/>
      <c r="K63" s="42"/>
      <c r="L63" s="42"/>
      <c r="M63" s="42"/>
    </row>
    <row r="64">
      <c r="A64" s="197">
        <v>45732.0</v>
      </c>
      <c r="B64" s="198" t="s">
        <v>19</v>
      </c>
      <c r="C64" s="199">
        <v>2.99</v>
      </c>
      <c r="D64" s="200" t="s">
        <v>1091</v>
      </c>
      <c r="E64" s="107"/>
      <c r="G64" s="42"/>
      <c r="H64" s="42"/>
      <c r="I64" s="42"/>
      <c r="J64" s="42"/>
      <c r="K64" s="42"/>
      <c r="L64" s="42"/>
      <c r="M64" s="42"/>
    </row>
    <row r="65">
      <c r="A65" s="197">
        <v>45732.0</v>
      </c>
      <c r="B65" s="198" t="s">
        <v>19</v>
      </c>
      <c r="C65" s="199">
        <v>1.25</v>
      </c>
      <c r="D65" s="200" t="s">
        <v>807</v>
      </c>
      <c r="E65" s="107"/>
      <c r="G65" s="42"/>
      <c r="H65" s="42"/>
      <c r="I65" s="42"/>
      <c r="J65" s="42"/>
      <c r="K65" s="42"/>
      <c r="L65" s="42"/>
      <c r="M65" s="42"/>
    </row>
    <row r="66">
      <c r="A66" s="197">
        <v>45732.0</v>
      </c>
      <c r="B66" s="198" t="s">
        <v>19</v>
      </c>
      <c r="C66" s="199">
        <v>1.25</v>
      </c>
      <c r="D66" s="200" t="s">
        <v>807</v>
      </c>
      <c r="E66" s="107"/>
      <c r="G66" s="42"/>
      <c r="H66" s="42"/>
      <c r="I66" s="42"/>
      <c r="J66" s="42"/>
      <c r="K66" s="42"/>
      <c r="L66" s="42"/>
      <c r="M66" s="42"/>
    </row>
    <row r="67">
      <c r="A67" s="197">
        <v>45732.0</v>
      </c>
      <c r="B67" s="198" t="s">
        <v>17</v>
      </c>
      <c r="C67" s="199">
        <v>18.07</v>
      </c>
      <c r="D67" s="200" t="s">
        <v>1092</v>
      </c>
      <c r="E67" s="107"/>
      <c r="G67" s="42"/>
      <c r="H67" s="42"/>
      <c r="I67" s="42"/>
      <c r="J67" s="42"/>
      <c r="K67" s="42"/>
      <c r="L67" s="42"/>
      <c r="M67" s="42"/>
    </row>
    <row r="68">
      <c r="A68" s="197">
        <v>45732.0</v>
      </c>
      <c r="B68" s="198" t="s">
        <v>15</v>
      </c>
      <c r="C68" s="199">
        <v>142.74</v>
      </c>
      <c r="D68" s="200" t="s">
        <v>806</v>
      </c>
      <c r="E68" s="107"/>
      <c r="G68" s="42"/>
      <c r="H68" s="42"/>
      <c r="I68" s="42"/>
      <c r="J68" s="42"/>
      <c r="K68" s="42"/>
      <c r="L68" s="42"/>
      <c r="M68" s="42"/>
    </row>
    <row r="69" ht="18.75" customHeight="1">
      <c r="A69" s="197">
        <v>45732.0</v>
      </c>
      <c r="B69" s="198" t="s">
        <v>17</v>
      </c>
      <c r="C69" s="199">
        <v>56.0</v>
      </c>
      <c r="D69" s="200" t="s">
        <v>1067</v>
      </c>
      <c r="E69" s="107"/>
      <c r="G69" s="42"/>
      <c r="H69" s="42"/>
      <c r="I69" s="42"/>
      <c r="J69" s="42"/>
      <c r="K69" s="42"/>
      <c r="L69" s="42"/>
      <c r="M69" s="42"/>
    </row>
    <row r="70">
      <c r="A70" s="197">
        <v>45733.0</v>
      </c>
      <c r="B70" s="198" t="s">
        <v>79</v>
      </c>
      <c r="C70" s="199">
        <v>40.0</v>
      </c>
      <c r="D70" s="200" t="s">
        <v>1093</v>
      </c>
      <c r="E70" s="107"/>
      <c r="G70" s="42"/>
      <c r="H70" s="42"/>
      <c r="I70" s="42"/>
      <c r="J70" s="42"/>
      <c r="K70" s="42"/>
      <c r="L70" s="42"/>
      <c r="M70" s="42"/>
    </row>
    <row r="71">
      <c r="A71" s="197">
        <v>45733.0</v>
      </c>
      <c r="B71" s="198" t="s">
        <v>22</v>
      </c>
      <c r="C71" s="199">
        <v>14.08</v>
      </c>
      <c r="D71" s="200" t="s">
        <v>1094</v>
      </c>
      <c r="E71" s="107"/>
      <c r="G71" s="42"/>
      <c r="H71" s="42"/>
      <c r="I71" s="42"/>
      <c r="J71" s="42"/>
      <c r="K71" s="42"/>
      <c r="L71" s="42"/>
      <c r="M71" s="42"/>
    </row>
    <row r="72">
      <c r="A72" s="197">
        <v>45733.0</v>
      </c>
      <c r="B72" s="198" t="s">
        <v>22</v>
      </c>
      <c r="C72" s="199">
        <v>20.0</v>
      </c>
      <c r="D72" s="200" t="s">
        <v>1095</v>
      </c>
      <c r="E72" s="107"/>
      <c r="G72" s="42"/>
      <c r="H72" s="42"/>
      <c r="I72" s="42"/>
      <c r="J72" s="42"/>
      <c r="K72" s="42"/>
      <c r="L72" s="42"/>
      <c r="M72" s="42"/>
    </row>
    <row r="73">
      <c r="A73" s="197">
        <v>45733.0</v>
      </c>
      <c r="B73" s="198" t="s">
        <v>17</v>
      </c>
      <c r="C73" s="199">
        <v>7.62</v>
      </c>
      <c r="D73" s="200" t="s">
        <v>1096</v>
      </c>
      <c r="E73" s="107"/>
      <c r="G73" s="42"/>
      <c r="H73" s="42"/>
      <c r="I73" s="42"/>
      <c r="J73" s="42"/>
      <c r="K73" s="42"/>
      <c r="L73" s="42"/>
      <c r="M73" s="42"/>
    </row>
    <row r="74">
      <c r="A74" s="197">
        <v>45733.0</v>
      </c>
      <c r="B74" s="198" t="s">
        <v>79</v>
      </c>
      <c r="C74" s="199">
        <v>60.0</v>
      </c>
      <c r="D74" s="200" t="s">
        <v>1097</v>
      </c>
      <c r="E74" s="107"/>
      <c r="G74" s="42"/>
      <c r="H74" s="42"/>
      <c r="I74" s="42"/>
      <c r="J74" s="42"/>
      <c r="K74" s="42"/>
      <c r="L74" s="42"/>
      <c r="M74" s="42"/>
    </row>
    <row r="75">
      <c r="A75" s="197">
        <v>45733.0</v>
      </c>
      <c r="B75" s="198" t="s">
        <v>79</v>
      </c>
      <c r="C75" s="199">
        <v>0.0</v>
      </c>
      <c r="D75" s="200" t="s">
        <v>1097</v>
      </c>
      <c r="E75" s="107"/>
      <c r="G75" s="42"/>
      <c r="H75" s="42"/>
      <c r="I75" s="42"/>
      <c r="J75" s="42"/>
      <c r="K75" s="42"/>
      <c r="L75" s="42"/>
      <c r="M75" s="42"/>
    </row>
    <row r="76">
      <c r="A76" s="197">
        <v>45733.0</v>
      </c>
      <c r="B76" s="198" t="s">
        <v>17</v>
      </c>
      <c r="C76" s="199">
        <v>120.39</v>
      </c>
      <c r="D76" s="200" t="s">
        <v>1098</v>
      </c>
      <c r="E76" s="107"/>
      <c r="G76" s="42"/>
      <c r="H76" s="42"/>
      <c r="I76" s="42"/>
      <c r="J76" s="42"/>
      <c r="K76" s="42"/>
      <c r="L76" s="42"/>
      <c r="M76" s="42"/>
    </row>
    <row r="77">
      <c r="A77" s="197">
        <v>45733.0</v>
      </c>
      <c r="B77" s="198" t="s">
        <v>17</v>
      </c>
      <c r="C77" s="199">
        <v>127.06</v>
      </c>
      <c r="D77" s="200" t="s">
        <v>1099</v>
      </c>
      <c r="E77" s="107"/>
      <c r="G77" s="42"/>
      <c r="H77" s="42"/>
      <c r="I77" s="42"/>
      <c r="J77" s="42"/>
      <c r="K77" s="42"/>
      <c r="L77" s="42"/>
      <c r="M77" s="42"/>
    </row>
    <row r="78">
      <c r="A78" s="197">
        <v>45733.0</v>
      </c>
      <c r="B78" s="198" t="s">
        <v>22</v>
      </c>
      <c r="C78" s="199">
        <v>6.22</v>
      </c>
      <c r="D78" s="200" t="s">
        <v>1100</v>
      </c>
      <c r="E78" s="107"/>
      <c r="G78" s="42"/>
      <c r="H78" s="42"/>
      <c r="I78" s="42"/>
      <c r="J78" s="42"/>
      <c r="K78" s="42"/>
      <c r="L78" s="42"/>
      <c r="M78" s="42"/>
    </row>
    <row r="79">
      <c r="A79" s="197">
        <v>45733.0</v>
      </c>
      <c r="B79" s="198" t="s">
        <v>22</v>
      </c>
      <c r="C79" s="199">
        <v>0.98</v>
      </c>
      <c r="D79" s="200" t="s">
        <v>1002</v>
      </c>
      <c r="E79" s="107"/>
      <c r="G79" s="42"/>
      <c r="H79" s="42"/>
      <c r="I79" s="42"/>
      <c r="J79" s="42"/>
      <c r="K79" s="42"/>
      <c r="L79" s="42"/>
      <c r="M79" s="42"/>
    </row>
    <row r="80">
      <c r="A80" s="197">
        <v>45733.0</v>
      </c>
      <c r="B80" s="198" t="s">
        <v>25</v>
      </c>
      <c r="C80" s="199">
        <v>32.74</v>
      </c>
      <c r="D80" s="200" t="s">
        <v>1101</v>
      </c>
      <c r="E80" s="107"/>
      <c r="G80" s="42"/>
      <c r="H80" s="42"/>
      <c r="I80" s="42"/>
      <c r="J80" s="42"/>
      <c r="K80" s="42"/>
      <c r="L80" s="42"/>
      <c r="M80" s="42"/>
    </row>
    <row r="81">
      <c r="A81" s="197">
        <v>45733.0</v>
      </c>
      <c r="B81" s="198" t="s">
        <v>15</v>
      </c>
      <c r="C81" s="199">
        <v>31.09</v>
      </c>
      <c r="D81" s="200" t="s">
        <v>806</v>
      </c>
      <c r="E81" s="107"/>
      <c r="G81" s="42"/>
      <c r="H81" s="42"/>
      <c r="I81" s="42"/>
      <c r="J81" s="42"/>
      <c r="K81" s="42"/>
      <c r="L81" s="42"/>
      <c r="M81" s="42"/>
    </row>
    <row r="82">
      <c r="A82" s="197">
        <v>45734.0</v>
      </c>
      <c r="B82" s="198" t="s">
        <v>17</v>
      </c>
      <c r="C82" s="199">
        <v>30.47</v>
      </c>
      <c r="D82" s="200" t="s">
        <v>1102</v>
      </c>
      <c r="E82" s="107"/>
      <c r="G82" s="42"/>
      <c r="H82" s="42"/>
      <c r="I82" s="42"/>
      <c r="J82" s="42"/>
      <c r="K82" s="42"/>
      <c r="L82" s="42"/>
      <c r="M82" s="42"/>
    </row>
    <row r="83">
      <c r="A83" s="197">
        <v>45735.0</v>
      </c>
      <c r="B83" s="198" t="s">
        <v>17</v>
      </c>
      <c r="C83" s="199">
        <v>19.59</v>
      </c>
      <c r="D83" s="200" t="s">
        <v>1103</v>
      </c>
      <c r="E83" s="107"/>
      <c r="G83" s="42"/>
      <c r="H83" s="42"/>
      <c r="I83" s="42"/>
      <c r="J83" s="42"/>
      <c r="K83" s="42"/>
      <c r="L83" s="42"/>
      <c r="M83" s="42"/>
    </row>
    <row r="84">
      <c r="A84" s="197">
        <v>45735.0</v>
      </c>
      <c r="B84" s="198" t="s">
        <v>22</v>
      </c>
      <c r="C84" s="199">
        <v>29.85</v>
      </c>
      <c r="D84" s="200" t="s">
        <v>1104</v>
      </c>
      <c r="E84" s="107"/>
      <c r="G84" s="42"/>
      <c r="H84" s="42"/>
      <c r="I84" s="42"/>
      <c r="J84" s="42"/>
      <c r="K84" s="42"/>
      <c r="L84" s="42"/>
      <c r="M84" s="42"/>
    </row>
    <row r="85">
      <c r="A85" s="197">
        <v>45735.0</v>
      </c>
      <c r="B85" s="198" t="s">
        <v>22</v>
      </c>
      <c r="C85" s="199">
        <v>10.0</v>
      </c>
      <c r="D85" s="200" t="s">
        <v>1105</v>
      </c>
      <c r="E85" s="107"/>
      <c r="G85" s="42"/>
      <c r="H85" s="42"/>
      <c r="I85" s="42"/>
      <c r="J85" s="42"/>
      <c r="K85" s="42"/>
      <c r="L85" s="42"/>
      <c r="M85" s="42"/>
    </row>
    <row r="86">
      <c r="A86" s="197">
        <v>45736.0</v>
      </c>
      <c r="B86" s="198" t="s">
        <v>17</v>
      </c>
      <c r="C86" s="199">
        <v>67.8</v>
      </c>
      <c r="D86" s="200" t="s">
        <v>1106</v>
      </c>
      <c r="E86" s="107"/>
      <c r="G86" s="42"/>
      <c r="H86" s="42"/>
      <c r="I86" s="42"/>
      <c r="J86" s="42"/>
      <c r="K86" s="42"/>
      <c r="L86" s="42"/>
      <c r="M86" s="42"/>
    </row>
    <row r="87">
      <c r="A87" s="197">
        <v>45736.0</v>
      </c>
      <c r="B87" s="198" t="s">
        <v>17</v>
      </c>
      <c r="C87" s="199">
        <v>17.92</v>
      </c>
      <c r="D87" s="200" t="s">
        <v>1107</v>
      </c>
      <c r="E87" s="107"/>
      <c r="G87" s="42"/>
      <c r="H87" s="42"/>
      <c r="I87" s="42"/>
      <c r="J87" s="42"/>
      <c r="K87" s="42"/>
      <c r="L87" s="42"/>
      <c r="M87" s="42"/>
    </row>
    <row r="88">
      <c r="A88" s="197">
        <v>45736.0</v>
      </c>
      <c r="B88" s="198" t="s">
        <v>17</v>
      </c>
      <c r="C88" s="199">
        <v>395.15</v>
      </c>
      <c r="D88" s="200" t="s">
        <v>1108</v>
      </c>
      <c r="E88" s="107"/>
      <c r="G88" s="42"/>
      <c r="H88" s="42"/>
      <c r="I88" s="42"/>
      <c r="J88" s="42"/>
      <c r="K88" s="42"/>
      <c r="L88" s="42"/>
      <c r="M88" s="42"/>
    </row>
    <row r="89">
      <c r="A89" s="197">
        <v>45736.0</v>
      </c>
      <c r="B89" s="198" t="s">
        <v>17</v>
      </c>
      <c r="C89" s="199">
        <v>5.0</v>
      </c>
      <c r="D89" s="200" t="s">
        <v>1109</v>
      </c>
      <c r="E89" s="107"/>
      <c r="G89" s="42"/>
      <c r="H89" s="42"/>
      <c r="I89" s="42"/>
      <c r="J89" s="42"/>
      <c r="K89" s="42"/>
      <c r="L89" s="42"/>
      <c r="M89" s="42"/>
    </row>
    <row r="90">
      <c r="A90" s="197">
        <v>45736.0</v>
      </c>
      <c r="B90" s="198" t="s">
        <v>17</v>
      </c>
      <c r="C90" s="199">
        <v>4.54</v>
      </c>
      <c r="D90" s="200" t="s">
        <v>1110</v>
      </c>
      <c r="E90" s="107"/>
      <c r="G90" s="42"/>
      <c r="H90" s="42"/>
      <c r="I90" s="42"/>
      <c r="J90" s="42"/>
      <c r="K90" s="42"/>
      <c r="L90" s="42"/>
      <c r="M90" s="42"/>
    </row>
    <row r="91">
      <c r="A91" s="197">
        <v>45736.0</v>
      </c>
      <c r="B91" s="198" t="s">
        <v>22</v>
      </c>
      <c r="C91" s="199">
        <v>18.73</v>
      </c>
      <c r="D91" s="200" t="s">
        <v>1094</v>
      </c>
      <c r="E91" s="107"/>
      <c r="G91" s="42"/>
      <c r="H91" s="42"/>
      <c r="I91" s="42"/>
      <c r="J91" s="42"/>
      <c r="K91" s="42"/>
      <c r="L91" s="42"/>
      <c r="M91" s="42"/>
    </row>
    <row r="92">
      <c r="A92" s="210">
        <v>45737.0</v>
      </c>
      <c r="B92" s="198" t="s">
        <v>22</v>
      </c>
      <c r="C92" s="208">
        <v>35.65</v>
      </c>
      <c r="D92" s="198" t="s">
        <v>1111</v>
      </c>
      <c r="E92" s="132"/>
      <c r="G92" s="42"/>
      <c r="H92" s="42"/>
      <c r="I92" s="42"/>
      <c r="J92" s="42"/>
      <c r="K92" s="42"/>
      <c r="L92" s="42"/>
      <c r="M92" s="42"/>
    </row>
    <row r="93">
      <c r="A93" s="210">
        <v>45737.0</v>
      </c>
      <c r="B93" s="198" t="s">
        <v>17</v>
      </c>
      <c r="C93" s="208">
        <v>108.37</v>
      </c>
      <c r="D93" s="198" t="s">
        <v>1112</v>
      </c>
      <c r="E93" s="107"/>
      <c r="G93" s="42"/>
      <c r="H93" s="42"/>
      <c r="I93" s="42"/>
      <c r="J93" s="42"/>
      <c r="K93" s="42"/>
      <c r="L93" s="42"/>
      <c r="M93" s="42"/>
    </row>
    <row r="94">
      <c r="A94" s="210">
        <v>45739.0</v>
      </c>
      <c r="B94" s="198" t="s">
        <v>17</v>
      </c>
      <c r="C94" s="208">
        <v>109.54</v>
      </c>
      <c r="D94" s="198" t="s">
        <v>1113</v>
      </c>
      <c r="E94" s="107"/>
      <c r="G94" s="42"/>
      <c r="H94" s="42"/>
      <c r="I94" s="42"/>
      <c r="J94" s="42"/>
      <c r="K94" s="42"/>
      <c r="L94" s="42"/>
      <c r="M94" s="42"/>
    </row>
    <row r="95">
      <c r="A95" s="210">
        <v>45739.0</v>
      </c>
      <c r="B95" s="198" t="s">
        <v>25</v>
      </c>
      <c r="C95" s="208">
        <v>8.01</v>
      </c>
      <c r="D95" s="198" t="s">
        <v>1114</v>
      </c>
      <c r="E95" s="132"/>
      <c r="G95" s="42"/>
      <c r="H95" s="42"/>
      <c r="I95" s="42"/>
      <c r="J95" s="42"/>
      <c r="K95" s="42"/>
      <c r="L95" s="42"/>
      <c r="M95" s="42"/>
    </row>
    <row r="96">
      <c r="A96" s="210">
        <v>45739.0</v>
      </c>
      <c r="B96" s="198" t="s">
        <v>17</v>
      </c>
      <c r="C96" s="208">
        <v>13.36</v>
      </c>
      <c r="D96" s="198" t="s">
        <v>1115</v>
      </c>
      <c r="E96" s="107">
        <v>-1.1</v>
      </c>
      <c r="G96" s="42"/>
      <c r="H96" s="42"/>
      <c r="I96" s="42"/>
      <c r="J96" s="42"/>
      <c r="K96" s="42"/>
      <c r="L96" s="42"/>
      <c r="M96" s="42"/>
    </row>
    <row r="97">
      <c r="A97" s="210">
        <v>45739.0</v>
      </c>
      <c r="B97" s="198" t="s">
        <v>25</v>
      </c>
      <c r="C97" s="208">
        <v>8.5</v>
      </c>
      <c r="D97" s="198" t="s">
        <v>1114</v>
      </c>
      <c r="E97" s="107">
        <v>-30.0</v>
      </c>
      <c r="G97" s="42"/>
      <c r="H97" s="42"/>
      <c r="I97" s="42"/>
      <c r="J97" s="42"/>
      <c r="K97" s="42"/>
      <c r="L97" s="42"/>
      <c r="M97" s="42"/>
    </row>
    <row r="98">
      <c r="A98" s="197">
        <v>45739.0</v>
      </c>
      <c r="B98" s="198" t="s">
        <v>22</v>
      </c>
      <c r="C98" s="199">
        <v>24.91</v>
      </c>
      <c r="D98" s="200" t="s">
        <v>1039</v>
      </c>
      <c r="E98" s="107">
        <v>-10.69</v>
      </c>
      <c r="G98" s="42"/>
      <c r="H98" s="42"/>
      <c r="I98" s="42"/>
      <c r="J98" s="42"/>
      <c r="K98" s="42"/>
      <c r="L98" s="42"/>
      <c r="M98" s="42"/>
    </row>
    <row r="99">
      <c r="A99" s="197">
        <v>45739.0</v>
      </c>
      <c r="B99" s="198" t="s">
        <v>17</v>
      </c>
      <c r="C99" s="199">
        <v>5.0</v>
      </c>
      <c r="D99" s="200" t="s">
        <v>1116</v>
      </c>
      <c r="E99" s="107">
        <v>-81.99</v>
      </c>
      <c r="G99" s="99"/>
      <c r="H99" s="42"/>
      <c r="I99" s="42"/>
      <c r="J99" s="42"/>
      <c r="K99" s="42"/>
      <c r="L99" s="42"/>
      <c r="M99" s="42"/>
    </row>
    <row r="100">
      <c r="A100" s="197">
        <v>45739.0</v>
      </c>
      <c r="B100" s="198" t="s">
        <v>19</v>
      </c>
      <c r="C100" s="199">
        <v>1.25</v>
      </c>
      <c r="D100" s="200" t="s">
        <v>807</v>
      </c>
      <c r="E100" s="107">
        <v>-91.44</v>
      </c>
      <c r="G100" s="42"/>
      <c r="H100" s="42"/>
      <c r="I100" s="42"/>
      <c r="J100" s="42"/>
      <c r="K100" s="42"/>
      <c r="L100" s="42"/>
      <c r="M100" s="42"/>
    </row>
    <row r="101">
      <c r="A101" s="197">
        <v>45739.0</v>
      </c>
      <c r="B101" s="198" t="s">
        <v>17</v>
      </c>
      <c r="C101" s="199">
        <v>27.0</v>
      </c>
      <c r="D101" s="200" t="s">
        <v>1117</v>
      </c>
      <c r="E101" s="107">
        <v>-79.99</v>
      </c>
      <c r="G101" s="42"/>
      <c r="H101" s="42"/>
      <c r="I101" s="42"/>
      <c r="J101" s="42"/>
      <c r="K101" s="42"/>
      <c r="L101" s="42"/>
      <c r="M101" s="42"/>
    </row>
    <row r="102">
      <c r="A102" s="210">
        <v>45739.0</v>
      </c>
      <c r="B102" s="198" t="s">
        <v>19</v>
      </c>
      <c r="C102" s="208">
        <v>1.25</v>
      </c>
      <c r="D102" s="198" t="s">
        <v>807</v>
      </c>
      <c r="E102" s="107">
        <v>-120.75</v>
      </c>
      <c r="G102" s="42"/>
      <c r="H102" s="42"/>
      <c r="I102" s="42"/>
      <c r="J102" s="42"/>
      <c r="K102" s="42"/>
      <c r="L102" s="42"/>
      <c r="M102" s="42"/>
    </row>
    <row r="103">
      <c r="A103" s="210">
        <v>45739.0</v>
      </c>
      <c r="B103" s="198" t="s">
        <v>17</v>
      </c>
      <c r="C103" s="208">
        <v>8.69</v>
      </c>
      <c r="D103" s="198" t="s">
        <v>1118</v>
      </c>
      <c r="E103" s="107">
        <v>-1.75</v>
      </c>
      <c r="G103" s="42"/>
      <c r="H103" s="42"/>
      <c r="I103" s="42"/>
      <c r="J103" s="42"/>
      <c r="K103" s="42"/>
      <c r="L103" s="42"/>
      <c r="M103" s="42"/>
    </row>
    <row r="104">
      <c r="A104" s="210">
        <v>45740.0</v>
      </c>
      <c r="B104" s="198" t="s">
        <v>22</v>
      </c>
      <c r="C104" s="208">
        <v>2.39</v>
      </c>
      <c r="D104" s="198" t="s">
        <v>1119</v>
      </c>
      <c r="E104" s="107">
        <v>-1.25</v>
      </c>
      <c r="G104" s="42"/>
      <c r="H104" s="42"/>
      <c r="I104" s="42"/>
      <c r="J104" s="42"/>
      <c r="K104" s="42"/>
      <c r="L104" s="42"/>
      <c r="M104" s="42"/>
    </row>
    <row r="105">
      <c r="A105" s="210">
        <v>45740.0</v>
      </c>
      <c r="B105" s="198" t="s">
        <v>22</v>
      </c>
      <c r="C105" s="208">
        <v>9.23</v>
      </c>
      <c r="D105" s="198" t="s">
        <v>1120</v>
      </c>
      <c r="E105" s="107">
        <v>-1.25</v>
      </c>
      <c r="G105" s="42"/>
      <c r="H105" s="42"/>
      <c r="I105" s="42"/>
      <c r="J105" s="42"/>
      <c r="K105" s="42"/>
      <c r="L105" s="42"/>
      <c r="M105" s="42"/>
    </row>
    <row r="106">
      <c r="A106" s="197">
        <v>45740.0</v>
      </c>
      <c r="B106" s="198" t="s">
        <v>22</v>
      </c>
      <c r="C106" s="199">
        <v>2.39</v>
      </c>
      <c r="D106" s="200" t="s">
        <v>1119</v>
      </c>
      <c r="E106" s="107">
        <v>-9.6</v>
      </c>
      <c r="G106" s="42"/>
      <c r="H106" s="42"/>
      <c r="I106" s="42"/>
      <c r="J106" s="42"/>
      <c r="K106" s="42"/>
      <c r="L106" s="42"/>
      <c r="M106" s="42"/>
    </row>
    <row r="107">
      <c r="A107" s="197">
        <v>45740.0</v>
      </c>
      <c r="B107" s="198" t="s">
        <v>17</v>
      </c>
      <c r="C107" s="199">
        <v>16.84</v>
      </c>
      <c r="D107" s="200" t="s">
        <v>1121</v>
      </c>
      <c r="E107" s="107">
        <v>-1.25</v>
      </c>
      <c r="G107" s="42"/>
      <c r="H107" s="42"/>
      <c r="I107" s="42"/>
      <c r="J107" s="42"/>
      <c r="K107" s="42"/>
      <c r="L107" s="42"/>
      <c r="M107" s="42"/>
    </row>
    <row r="108">
      <c r="A108" s="197">
        <v>45740.0</v>
      </c>
      <c r="B108" s="198" t="s">
        <v>17</v>
      </c>
      <c r="C108" s="199">
        <v>101.56</v>
      </c>
      <c r="D108" s="200" t="s">
        <v>1122</v>
      </c>
      <c r="E108" s="107">
        <v>-1.25</v>
      </c>
      <c r="G108" s="42"/>
      <c r="H108" s="42"/>
      <c r="I108" s="42"/>
      <c r="J108" s="42"/>
      <c r="K108" s="42"/>
      <c r="L108" s="42"/>
      <c r="M108" s="42"/>
    </row>
    <row r="109">
      <c r="A109" s="197">
        <v>45740.0</v>
      </c>
      <c r="B109" s="198" t="s">
        <v>17</v>
      </c>
      <c r="C109" s="199">
        <v>11.41</v>
      </c>
      <c r="D109" s="200" t="s">
        <v>1123</v>
      </c>
      <c r="E109" s="107">
        <v>-2.9</v>
      </c>
      <c r="G109" s="42"/>
      <c r="H109" s="42"/>
      <c r="I109" s="42"/>
      <c r="J109" s="42"/>
      <c r="K109" s="42"/>
      <c r="L109" s="42"/>
      <c r="M109" s="42"/>
    </row>
    <row r="110">
      <c r="A110" s="197">
        <v>45740.0</v>
      </c>
      <c r="B110" s="198" t="s">
        <v>22</v>
      </c>
      <c r="C110" s="199">
        <v>9.23</v>
      </c>
      <c r="D110" s="200" t="s">
        <v>1120</v>
      </c>
      <c r="E110" s="107">
        <v>-30.0</v>
      </c>
      <c r="G110" s="42"/>
      <c r="H110" s="42"/>
      <c r="I110" s="42"/>
      <c r="J110" s="42"/>
      <c r="K110" s="42"/>
      <c r="L110" s="42"/>
      <c r="M110" s="42"/>
    </row>
    <row r="111">
      <c r="A111" s="197">
        <v>45740.0</v>
      </c>
      <c r="B111" s="198" t="s">
        <v>17</v>
      </c>
      <c r="C111" s="199">
        <v>30.41</v>
      </c>
      <c r="D111" s="200" t="s">
        <v>1124</v>
      </c>
      <c r="E111" s="107">
        <v>-2.9</v>
      </c>
      <c r="G111" s="42"/>
      <c r="H111" s="42"/>
      <c r="I111" s="42"/>
      <c r="J111" s="42"/>
      <c r="K111" s="42"/>
      <c r="L111" s="42"/>
      <c r="M111" s="42"/>
    </row>
    <row r="112">
      <c r="A112" s="197">
        <v>45741.0</v>
      </c>
      <c r="B112" s="198" t="s">
        <v>22</v>
      </c>
      <c r="C112" s="199">
        <v>4.78</v>
      </c>
      <c r="D112" s="200" t="s">
        <v>1119</v>
      </c>
      <c r="E112" s="107">
        <v>-2.75</v>
      </c>
      <c r="G112" s="42"/>
      <c r="H112" s="42"/>
      <c r="I112" s="42"/>
      <c r="J112" s="42"/>
      <c r="K112" s="42"/>
      <c r="L112" s="42"/>
      <c r="M112" s="42"/>
    </row>
    <row r="113">
      <c r="A113" s="197">
        <v>45741.0</v>
      </c>
      <c r="B113" s="198" t="s">
        <v>17</v>
      </c>
      <c r="C113" s="199">
        <v>97.43</v>
      </c>
      <c r="D113" s="200" t="s">
        <v>1125</v>
      </c>
      <c r="E113" s="107">
        <v>-2.9</v>
      </c>
      <c r="G113" s="42"/>
      <c r="H113" s="42"/>
      <c r="I113" s="42"/>
      <c r="J113" s="42"/>
      <c r="K113" s="42"/>
      <c r="L113" s="42"/>
      <c r="M113" s="42"/>
    </row>
    <row r="114">
      <c r="A114" s="197">
        <v>45741.0</v>
      </c>
      <c r="B114" s="198" t="s">
        <v>17</v>
      </c>
      <c r="C114" s="199">
        <v>50.02</v>
      </c>
      <c r="D114" s="200" t="s">
        <v>1126</v>
      </c>
      <c r="E114" s="107">
        <v>-2.75</v>
      </c>
      <c r="G114" s="42"/>
      <c r="H114" s="42"/>
      <c r="I114" s="42"/>
      <c r="J114" s="42"/>
      <c r="K114" s="42"/>
      <c r="L114" s="42"/>
      <c r="M114" s="42"/>
    </row>
    <row r="115">
      <c r="A115" s="197">
        <v>45741.0</v>
      </c>
      <c r="B115" s="198" t="s">
        <v>17</v>
      </c>
      <c r="C115" s="199">
        <v>5.6</v>
      </c>
      <c r="D115" s="200" t="s">
        <v>1127</v>
      </c>
      <c r="E115" s="107">
        <v>-13.25</v>
      </c>
      <c r="G115" s="42"/>
      <c r="H115" s="42"/>
      <c r="I115" s="42"/>
      <c r="J115" s="42"/>
      <c r="K115" s="42"/>
      <c r="L115" s="42"/>
      <c r="M115" s="42"/>
    </row>
    <row r="116">
      <c r="A116" s="197">
        <v>45741.0</v>
      </c>
      <c r="B116" s="198" t="s">
        <v>79</v>
      </c>
      <c r="C116" s="199">
        <v>34.07</v>
      </c>
      <c r="D116" s="200" t="s">
        <v>1085</v>
      </c>
      <c r="E116" s="107">
        <v>-28.27</v>
      </c>
      <c r="G116" s="42"/>
      <c r="H116" s="42"/>
      <c r="I116" s="42"/>
      <c r="J116" s="42"/>
      <c r="K116" s="42"/>
      <c r="L116" s="42"/>
      <c r="M116" s="42"/>
    </row>
    <row r="117">
      <c r="A117" s="197">
        <v>45741.0</v>
      </c>
      <c r="B117" s="198" t="s">
        <v>22</v>
      </c>
      <c r="C117" s="199">
        <v>4.78</v>
      </c>
      <c r="D117" s="200" t="s">
        <v>1128</v>
      </c>
      <c r="E117" s="107">
        <v>-51.99</v>
      </c>
      <c r="G117" s="42"/>
      <c r="H117" s="42"/>
      <c r="I117" s="42"/>
      <c r="J117" s="42"/>
      <c r="K117" s="42"/>
      <c r="L117" s="42"/>
      <c r="M117" s="42"/>
    </row>
    <row r="118">
      <c r="A118" s="197">
        <v>45742.0</v>
      </c>
      <c r="B118" s="198" t="s">
        <v>17</v>
      </c>
      <c r="C118" s="199">
        <v>426.8</v>
      </c>
      <c r="D118" s="200" t="s">
        <v>1129</v>
      </c>
      <c r="E118" s="107">
        <v>-31.03</v>
      </c>
      <c r="G118" s="42"/>
      <c r="H118" s="42"/>
      <c r="I118" s="42"/>
      <c r="J118" s="42"/>
      <c r="K118" s="42"/>
      <c r="L118" s="42"/>
      <c r="M118" s="42"/>
    </row>
    <row r="119">
      <c r="A119" s="197">
        <v>45742.0</v>
      </c>
      <c r="B119" s="198" t="s">
        <v>17</v>
      </c>
      <c r="C119" s="199">
        <v>38.01</v>
      </c>
      <c r="D119" s="200" t="s">
        <v>1130</v>
      </c>
      <c r="E119" s="107">
        <v>-53.58</v>
      </c>
      <c r="G119" s="42"/>
      <c r="H119" s="42"/>
      <c r="I119" s="42"/>
      <c r="J119" s="42"/>
      <c r="K119" s="42"/>
      <c r="L119" s="42"/>
      <c r="M119" s="42"/>
    </row>
    <row r="120">
      <c r="A120" s="197">
        <v>45742.0</v>
      </c>
      <c r="B120" s="198" t="s">
        <v>79</v>
      </c>
      <c r="C120" s="199">
        <v>-25.61</v>
      </c>
      <c r="D120" s="200" t="s">
        <v>1131</v>
      </c>
      <c r="E120" s="107">
        <v>-1.5</v>
      </c>
      <c r="G120" s="42"/>
      <c r="H120" s="42"/>
      <c r="I120" s="42"/>
      <c r="J120" s="42"/>
      <c r="K120" s="42"/>
      <c r="L120" s="42"/>
      <c r="M120" s="42"/>
    </row>
    <row r="121">
      <c r="A121" s="197">
        <v>45742.0</v>
      </c>
      <c r="B121" s="198" t="s">
        <v>22</v>
      </c>
      <c r="C121" s="199">
        <v>1.95</v>
      </c>
      <c r="D121" s="200" t="s">
        <v>1120</v>
      </c>
      <c r="E121" s="107">
        <v>-12.84</v>
      </c>
      <c r="G121" s="42"/>
      <c r="H121" s="42"/>
      <c r="I121" s="42"/>
      <c r="J121" s="42"/>
      <c r="K121" s="42"/>
      <c r="L121" s="42"/>
      <c r="M121" s="42"/>
    </row>
    <row r="122">
      <c r="A122" s="197">
        <v>45742.0</v>
      </c>
      <c r="B122" s="198" t="s">
        <v>22</v>
      </c>
      <c r="C122" s="199">
        <v>1.95</v>
      </c>
      <c r="D122" s="200" t="s">
        <v>1120</v>
      </c>
      <c r="E122" s="107">
        <v>-2.4</v>
      </c>
      <c r="G122" s="42"/>
      <c r="H122" s="42"/>
      <c r="I122" s="42"/>
      <c r="J122" s="42"/>
      <c r="K122" s="42"/>
      <c r="L122" s="42"/>
      <c r="M122" s="42"/>
    </row>
    <row r="123">
      <c r="A123" s="197">
        <v>45742.0</v>
      </c>
      <c r="B123" s="198" t="s">
        <v>17</v>
      </c>
      <c r="C123" s="199">
        <v>2.99</v>
      </c>
      <c r="D123" s="200" t="s">
        <v>1132</v>
      </c>
      <c r="E123" s="107">
        <v>-1.25</v>
      </c>
      <c r="G123" s="42"/>
      <c r="H123" s="42"/>
      <c r="I123" s="42"/>
      <c r="J123" s="42"/>
      <c r="K123" s="42"/>
      <c r="L123" s="42"/>
      <c r="M123" s="42"/>
    </row>
    <row r="124">
      <c r="A124" s="197">
        <v>45742.0</v>
      </c>
      <c r="B124" s="198" t="s">
        <v>22</v>
      </c>
      <c r="C124" s="199">
        <v>1.95</v>
      </c>
      <c r="D124" s="200" t="s">
        <v>1120</v>
      </c>
      <c r="E124" s="107">
        <v>-25.95</v>
      </c>
      <c r="G124" s="42"/>
      <c r="H124" s="42"/>
      <c r="I124" s="42"/>
      <c r="J124" s="42"/>
      <c r="K124" s="42"/>
      <c r="L124" s="42"/>
      <c r="M124" s="42"/>
    </row>
    <row r="125">
      <c r="A125" s="197">
        <v>45742.0</v>
      </c>
      <c r="B125" s="198" t="s">
        <v>19</v>
      </c>
      <c r="C125" s="199">
        <v>4995.6</v>
      </c>
      <c r="D125" s="200" t="s">
        <v>1133</v>
      </c>
      <c r="E125" s="107">
        <v>-1.25</v>
      </c>
      <c r="G125" s="42"/>
      <c r="H125" s="42"/>
      <c r="I125" s="42"/>
      <c r="J125" s="42"/>
      <c r="K125" s="42"/>
      <c r="L125" s="42"/>
      <c r="M125" s="42"/>
    </row>
    <row r="126">
      <c r="A126" s="197">
        <v>45742.0</v>
      </c>
      <c r="B126" s="198" t="s">
        <v>22</v>
      </c>
      <c r="C126" s="199">
        <v>1.95</v>
      </c>
      <c r="D126" s="200" t="s">
        <v>1120</v>
      </c>
      <c r="E126" s="107">
        <v>-3.95</v>
      </c>
      <c r="G126" s="42"/>
      <c r="H126" s="42"/>
      <c r="I126" s="42"/>
      <c r="J126" s="42"/>
      <c r="K126" s="42"/>
      <c r="L126" s="42"/>
      <c r="M126" s="42"/>
    </row>
    <row r="127">
      <c r="A127" s="197">
        <v>45743.0</v>
      </c>
      <c r="B127" s="198" t="s">
        <v>17</v>
      </c>
      <c r="C127" s="199">
        <v>2.47</v>
      </c>
      <c r="D127" s="200" t="s">
        <v>1134</v>
      </c>
      <c r="E127" s="107">
        <v>-1.25</v>
      </c>
      <c r="G127" s="42"/>
      <c r="H127" s="42"/>
      <c r="I127" s="42"/>
      <c r="J127" s="42"/>
      <c r="K127" s="42"/>
      <c r="L127" s="42"/>
      <c r="M127" s="42"/>
    </row>
    <row r="128">
      <c r="A128" s="197">
        <v>45743.0</v>
      </c>
      <c r="B128" s="198" t="s">
        <v>17</v>
      </c>
      <c r="C128" s="199">
        <v>396.05</v>
      </c>
      <c r="D128" s="200" t="s">
        <v>1135</v>
      </c>
      <c r="E128" s="107">
        <v>-55.88</v>
      </c>
      <c r="G128" s="42"/>
      <c r="H128" s="42"/>
      <c r="I128" s="42"/>
      <c r="J128" s="42"/>
      <c r="K128" s="42"/>
      <c r="L128" s="42"/>
      <c r="M128" s="42"/>
    </row>
    <row r="129">
      <c r="A129" s="197">
        <v>45743.0</v>
      </c>
      <c r="B129" s="198" t="s">
        <v>79</v>
      </c>
      <c r="C129" s="199">
        <v>56.98</v>
      </c>
      <c r="D129" s="200" t="s">
        <v>1136</v>
      </c>
      <c r="E129" s="107">
        <v>-25.02</v>
      </c>
      <c r="G129" s="42"/>
      <c r="H129" s="42"/>
      <c r="I129" s="42"/>
      <c r="J129" s="42"/>
      <c r="K129" s="42"/>
      <c r="L129" s="42"/>
      <c r="M129" s="42"/>
    </row>
    <row r="130">
      <c r="A130" s="197">
        <v>45743.0</v>
      </c>
      <c r="B130" s="198" t="s">
        <v>22</v>
      </c>
      <c r="C130" s="199">
        <v>4.77</v>
      </c>
      <c r="D130" s="200" t="s">
        <v>1119</v>
      </c>
      <c r="E130" s="107">
        <v>-81.2</v>
      </c>
      <c r="G130" s="42"/>
      <c r="H130" s="42"/>
      <c r="I130" s="42"/>
      <c r="J130" s="42"/>
      <c r="K130" s="42"/>
      <c r="L130" s="42"/>
      <c r="M130" s="42"/>
    </row>
    <row r="131">
      <c r="A131" s="197">
        <v>45743.0</v>
      </c>
      <c r="B131" s="198" t="s">
        <v>17</v>
      </c>
      <c r="C131" s="199">
        <v>36.83</v>
      </c>
      <c r="D131" s="198" t="s">
        <v>1137</v>
      </c>
      <c r="E131" s="107"/>
      <c r="G131" s="42"/>
      <c r="H131" s="42"/>
      <c r="I131" s="42"/>
      <c r="J131" s="42"/>
      <c r="K131" s="42"/>
      <c r="L131" s="42"/>
      <c r="M131" s="42"/>
    </row>
    <row r="132">
      <c r="A132" s="211">
        <v>45743.0</v>
      </c>
      <c r="B132" s="198" t="s">
        <v>17</v>
      </c>
      <c r="C132" s="199">
        <v>12.08</v>
      </c>
      <c r="D132" s="200" t="s">
        <v>1138</v>
      </c>
      <c r="E132" s="107"/>
      <c r="G132" s="42"/>
      <c r="H132" s="42"/>
      <c r="I132" s="42"/>
      <c r="J132" s="42"/>
      <c r="K132" s="42"/>
      <c r="L132" s="42"/>
      <c r="M132" s="42"/>
    </row>
    <row r="133">
      <c r="A133" s="197">
        <v>45743.0</v>
      </c>
      <c r="B133" s="198" t="s">
        <v>25</v>
      </c>
      <c r="C133" s="199">
        <v>7.34</v>
      </c>
      <c r="D133" s="200" t="s">
        <v>1114</v>
      </c>
      <c r="E133" s="107"/>
      <c r="G133" s="42"/>
      <c r="H133" s="42"/>
      <c r="I133" s="42"/>
      <c r="J133" s="42"/>
      <c r="K133" s="42"/>
      <c r="L133" s="42"/>
      <c r="M133" s="42"/>
    </row>
    <row r="134">
      <c r="A134" s="197">
        <v>45744.0</v>
      </c>
      <c r="B134" s="198" t="s">
        <v>17</v>
      </c>
      <c r="C134" s="199">
        <v>11.83</v>
      </c>
      <c r="D134" s="200" t="s">
        <v>1139</v>
      </c>
      <c r="E134" s="107"/>
      <c r="G134" s="42"/>
      <c r="H134" s="42"/>
      <c r="I134" s="42"/>
      <c r="J134" s="42"/>
      <c r="K134" s="42"/>
      <c r="L134" s="42"/>
      <c r="M134" s="42"/>
    </row>
    <row r="135">
      <c r="A135" s="197">
        <v>45744.0</v>
      </c>
      <c r="B135" s="198" t="s">
        <v>17</v>
      </c>
      <c r="C135" s="199">
        <v>220.51</v>
      </c>
      <c r="D135" s="198" t="s">
        <v>1140</v>
      </c>
      <c r="E135" s="107"/>
      <c r="G135" s="42"/>
      <c r="H135" s="42"/>
      <c r="I135" s="42"/>
      <c r="J135" s="42"/>
      <c r="K135" s="42"/>
      <c r="L135" s="42"/>
      <c r="M135" s="42"/>
    </row>
    <row r="136">
      <c r="A136" s="197">
        <v>45744.0</v>
      </c>
      <c r="B136" s="198" t="s">
        <v>17</v>
      </c>
      <c r="C136" s="199">
        <v>4.05</v>
      </c>
      <c r="D136" s="200" t="s">
        <v>1141</v>
      </c>
      <c r="E136" s="107"/>
      <c r="G136" s="42"/>
      <c r="H136" s="42"/>
      <c r="I136" s="42"/>
      <c r="J136" s="42"/>
      <c r="K136" s="42"/>
      <c r="L136" s="42"/>
      <c r="M136" s="42"/>
    </row>
    <row r="137">
      <c r="A137" s="197">
        <v>45746.0</v>
      </c>
      <c r="B137" s="198" t="s">
        <v>17</v>
      </c>
      <c r="C137" s="199">
        <v>19.37</v>
      </c>
      <c r="D137" s="200" t="s">
        <v>1142</v>
      </c>
      <c r="E137" s="107"/>
      <c r="G137" s="42"/>
      <c r="H137" s="42"/>
      <c r="I137" s="42"/>
      <c r="J137" s="42"/>
      <c r="K137" s="42"/>
      <c r="L137" s="42"/>
      <c r="M137" s="42"/>
    </row>
    <row r="138">
      <c r="A138" s="197">
        <v>45746.0</v>
      </c>
      <c r="B138" s="198" t="s">
        <v>17</v>
      </c>
      <c r="C138" s="199">
        <v>7.38</v>
      </c>
      <c r="D138" s="200" t="s">
        <v>1143</v>
      </c>
      <c r="E138" s="107"/>
      <c r="G138" s="42"/>
      <c r="H138" s="42"/>
      <c r="I138" s="42"/>
      <c r="J138" s="42"/>
      <c r="K138" s="42"/>
      <c r="L138" s="42"/>
      <c r="M138" s="42"/>
    </row>
    <row r="139">
      <c r="A139" s="197">
        <v>45746.0</v>
      </c>
      <c r="B139" s="198" t="s">
        <v>17</v>
      </c>
      <c r="C139" s="199">
        <v>4.07</v>
      </c>
      <c r="D139" s="198" t="s">
        <v>1143</v>
      </c>
      <c r="E139" s="107"/>
      <c r="G139" s="42"/>
      <c r="H139" s="42"/>
      <c r="I139" s="42"/>
      <c r="J139" s="42"/>
      <c r="K139" s="42"/>
      <c r="L139" s="42"/>
      <c r="M139" s="42"/>
    </row>
    <row r="140">
      <c r="A140" s="197">
        <v>45746.0</v>
      </c>
      <c r="B140" s="198" t="s">
        <v>17</v>
      </c>
      <c r="C140" s="199">
        <v>0.8</v>
      </c>
      <c r="D140" s="200" t="s">
        <v>1143</v>
      </c>
      <c r="E140" s="107"/>
      <c r="G140" s="42"/>
      <c r="H140" s="42"/>
      <c r="I140" s="42"/>
      <c r="J140" s="42"/>
      <c r="K140" s="42"/>
      <c r="L140" s="42"/>
      <c r="M140" s="42"/>
    </row>
    <row r="141">
      <c r="A141" s="197">
        <v>45746.0</v>
      </c>
      <c r="B141" s="198" t="s">
        <v>17</v>
      </c>
      <c r="C141" s="199">
        <v>5.34</v>
      </c>
      <c r="D141" s="200" t="s">
        <v>1144</v>
      </c>
      <c r="E141" s="107"/>
      <c r="G141" s="42"/>
      <c r="H141" s="42"/>
      <c r="I141" s="42"/>
      <c r="J141" s="42"/>
      <c r="K141" s="42"/>
      <c r="L141" s="42"/>
      <c r="M141" s="42"/>
    </row>
    <row r="142">
      <c r="A142" s="197">
        <v>45746.0</v>
      </c>
      <c r="B142" s="198" t="s">
        <v>25</v>
      </c>
      <c r="C142" s="199">
        <v>32.75</v>
      </c>
      <c r="D142" s="200" t="s">
        <v>1145</v>
      </c>
      <c r="E142" s="107"/>
      <c r="G142" s="42"/>
      <c r="H142" s="42"/>
      <c r="I142" s="42"/>
      <c r="J142" s="42"/>
      <c r="K142" s="42"/>
      <c r="L142" s="42"/>
      <c r="M142" s="42"/>
    </row>
    <row r="143">
      <c r="A143" s="197">
        <v>45746.0</v>
      </c>
      <c r="B143" s="198" t="s">
        <v>17</v>
      </c>
      <c r="C143" s="199">
        <v>46.22</v>
      </c>
      <c r="D143" s="200" t="s">
        <v>1146</v>
      </c>
      <c r="E143" s="107"/>
      <c r="G143" s="42"/>
      <c r="H143" s="42"/>
      <c r="I143" s="42"/>
      <c r="J143" s="42"/>
      <c r="K143" s="42"/>
      <c r="L143" s="42"/>
      <c r="M143" s="42"/>
    </row>
    <row r="144">
      <c r="A144" s="197">
        <v>45746.0</v>
      </c>
      <c r="B144" s="198" t="s">
        <v>17</v>
      </c>
      <c r="C144" s="199">
        <v>22.61</v>
      </c>
      <c r="D144" s="198" t="s">
        <v>1143</v>
      </c>
      <c r="E144" s="107"/>
      <c r="G144" s="42"/>
      <c r="H144" s="42"/>
      <c r="I144" s="42"/>
      <c r="J144" s="42"/>
      <c r="K144" s="42"/>
      <c r="L144" s="42"/>
      <c r="M144" s="42"/>
    </row>
    <row r="145">
      <c r="A145" s="197">
        <v>45746.0</v>
      </c>
      <c r="B145" s="198" t="s">
        <v>25</v>
      </c>
      <c r="C145" s="199">
        <v>37.12</v>
      </c>
      <c r="D145" s="200" t="s">
        <v>1145</v>
      </c>
      <c r="E145" s="107"/>
      <c r="G145" s="42"/>
      <c r="H145" s="42"/>
      <c r="I145" s="42"/>
      <c r="J145" s="42"/>
      <c r="K145" s="42"/>
      <c r="L145" s="42"/>
      <c r="M145" s="42"/>
    </row>
    <row r="146">
      <c r="A146" s="197">
        <v>45746.0</v>
      </c>
      <c r="B146" s="198" t="s">
        <v>25</v>
      </c>
      <c r="C146" s="199">
        <v>8.39</v>
      </c>
      <c r="D146" s="198" t="s">
        <v>1147</v>
      </c>
      <c r="E146" s="107"/>
      <c r="G146" s="42"/>
      <c r="H146" s="42"/>
      <c r="I146" s="42"/>
      <c r="J146" s="42"/>
      <c r="K146" s="42"/>
      <c r="L146" s="42"/>
      <c r="M146" s="42"/>
    </row>
    <row r="147">
      <c r="A147" s="197">
        <v>45746.0</v>
      </c>
      <c r="B147" s="198" t="s">
        <v>25</v>
      </c>
      <c r="C147" s="199">
        <v>69.26</v>
      </c>
      <c r="D147" s="200" t="s">
        <v>1148</v>
      </c>
      <c r="E147" s="107"/>
      <c r="G147" s="42"/>
      <c r="H147" s="42"/>
      <c r="I147" s="42"/>
      <c r="J147" s="42"/>
      <c r="K147" s="42"/>
      <c r="L147" s="42"/>
      <c r="M147" s="42"/>
    </row>
    <row r="148">
      <c r="A148" s="197">
        <v>45746.0</v>
      </c>
      <c r="B148" s="198" t="s">
        <v>15</v>
      </c>
      <c r="C148" s="199">
        <v>9.99</v>
      </c>
      <c r="D148" s="200" t="s">
        <v>936</v>
      </c>
      <c r="E148" s="107"/>
      <c r="G148" s="42"/>
      <c r="H148" s="42"/>
      <c r="I148" s="42"/>
      <c r="J148" s="42"/>
      <c r="K148" s="42"/>
      <c r="L148" s="42"/>
      <c r="M148" s="42"/>
    </row>
    <row r="149">
      <c r="A149" s="197">
        <v>45747.0</v>
      </c>
      <c r="B149" s="198" t="s">
        <v>22</v>
      </c>
      <c r="C149" s="199">
        <v>39.3</v>
      </c>
      <c r="D149" s="200" t="s">
        <v>1149</v>
      </c>
      <c r="E149" s="107"/>
      <c r="G149" s="42"/>
      <c r="H149" s="42"/>
      <c r="I149" s="42"/>
      <c r="J149" s="42"/>
      <c r="K149" s="42"/>
      <c r="L149" s="42"/>
      <c r="M149" s="42"/>
    </row>
    <row r="150">
      <c r="A150" s="197">
        <v>45747.0</v>
      </c>
      <c r="B150" s="198" t="s">
        <v>17</v>
      </c>
      <c r="C150" s="199">
        <v>21.55</v>
      </c>
      <c r="D150" s="198" t="s">
        <v>1150</v>
      </c>
      <c r="E150" s="107"/>
      <c r="G150" s="42"/>
      <c r="H150" s="42"/>
      <c r="I150" s="42"/>
      <c r="J150" s="42"/>
      <c r="K150" s="42"/>
      <c r="L150" s="42"/>
      <c r="M150" s="42"/>
    </row>
    <row r="151">
      <c r="A151" s="197">
        <v>45747.0</v>
      </c>
      <c r="B151" s="198" t="s">
        <v>19</v>
      </c>
      <c r="C151" s="199">
        <v>73.52</v>
      </c>
      <c r="D151" s="200" t="s">
        <v>1151</v>
      </c>
      <c r="E151" s="107"/>
      <c r="G151" s="42"/>
      <c r="H151" s="42"/>
      <c r="I151" s="42"/>
      <c r="J151" s="42"/>
      <c r="K151" s="42"/>
      <c r="L151" s="42"/>
      <c r="M151" s="42"/>
    </row>
    <row r="152">
      <c r="A152" s="212">
        <v>45740.0</v>
      </c>
      <c r="B152" s="186" t="s">
        <v>25</v>
      </c>
      <c r="C152" s="199">
        <v>13.03</v>
      </c>
      <c r="D152" s="198" t="s">
        <v>1152</v>
      </c>
      <c r="E152" s="107"/>
      <c r="G152" s="42"/>
      <c r="H152" s="42"/>
      <c r="I152" s="42"/>
      <c r="J152" s="42"/>
      <c r="K152" s="42"/>
      <c r="L152" s="42"/>
      <c r="M152" s="42"/>
    </row>
    <row r="153">
      <c r="A153" s="212">
        <v>45736.0</v>
      </c>
      <c r="B153" s="186" t="s">
        <v>25</v>
      </c>
      <c r="C153" s="199">
        <v>5.34</v>
      </c>
      <c r="D153" s="200" t="s">
        <v>1153</v>
      </c>
      <c r="E153" s="107"/>
      <c r="G153" s="42"/>
      <c r="H153" s="42"/>
      <c r="I153" s="42"/>
      <c r="J153" s="42"/>
      <c r="K153" s="42"/>
      <c r="L153" s="42"/>
      <c r="M153" s="42"/>
    </row>
    <row r="154">
      <c r="A154" s="212">
        <v>45736.0</v>
      </c>
      <c r="B154" s="186" t="s">
        <v>25</v>
      </c>
      <c r="C154" s="199">
        <v>6.96</v>
      </c>
      <c r="D154" s="200" t="s">
        <v>1154</v>
      </c>
      <c r="E154" s="107"/>
      <c r="G154" s="42"/>
      <c r="H154" s="42"/>
      <c r="I154" s="42"/>
      <c r="J154" s="42"/>
      <c r="K154" s="42"/>
      <c r="L154" s="42"/>
      <c r="M154" s="42"/>
    </row>
    <row r="155">
      <c r="A155" s="212">
        <v>45735.0</v>
      </c>
      <c r="B155" s="178" t="s">
        <v>24</v>
      </c>
      <c r="C155" s="199">
        <v>201.46</v>
      </c>
      <c r="D155" s="200" t="s">
        <v>1155</v>
      </c>
      <c r="E155" s="107"/>
      <c r="G155" s="42"/>
      <c r="H155" s="42"/>
      <c r="I155" s="42"/>
      <c r="J155" s="42"/>
      <c r="K155" s="42"/>
      <c r="L155" s="42"/>
      <c r="M155" s="42"/>
    </row>
    <row r="156">
      <c r="A156" s="188"/>
      <c r="B156" s="186"/>
      <c r="C156" s="189"/>
      <c r="D156" s="186"/>
      <c r="E156" s="107"/>
      <c r="G156" s="42"/>
      <c r="H156" s="42"/>
      <c r="I156" s="42"/>
      <c r="J156" s="42"/>
      <c r="K156" s="42"/>
      <c r="L156" s="42"/>
      <c r="M156" s="42"/>
    </row>
    <row r="157">
      <c r="A157" s="188"/>
      <c r="B157" s="186"/>
      <c r="C157" s="189"/>
      <c r="D157" s="186"/>
      <c r="E157" s="107"/>
      <c r="G157" s="42"/>
      <c r="H157" s="42"/>
      <c r="I157" s="42"/>
      <c r="J157" s="42"/>
      <c r="K157" s="42"/>
      <c r="L157" s="42"/>
      <c r="M157" s="42"/>
    </row>
    <row r="158">
      <c r="A158" s="192"/>
      <c r="B158" s="184"/>
      <c r="C158" s="202"/>
      <c r="D158" s="193"/>
      <c r="E158" s="107"/>
      <c r="G158" s="42"/>
      <c r="H158" s="42"/>
      <c r="I158" s="42"/>
      <c r="J158" s="42"/>
      <c r="K158" s="42"/>
      <c r="L158" s="42"/>
      <c r="M158" s="42"/>
    </row>
    <row r="159">
      <c r="A159" s="188"/>
      <c r="B159" s="186"/>
      <c r="C159" s="189"/>
      <c r="D159" s="186"/>
      <c r="E159" s="107"/>
      <c r="G159" s="42"/>
      <c r="H159" s="42"/>
      <c r="I159" s="42"/>
      <c r="J159" s="42"/>
      <c r="K159" s="42"/>
      <c r="L159" s="42"/>
      <c r="M159" s="42"/>
    </row>
    <row r="160">
      <c r="A160" s="190"/>
      <c r="B160" s="184"/>
      <c r="C160" s="194"/>
      <c r="D160" s="194"/>
      <c r="E160" s="107"/>
      <c r="G160" s="42"/>
      <c r="H160" s="42"/>
      <c r="I160" s="42"/>
      <c r="J160" s="42"/>
      <c r="K160" s="42"/>
      <c r="L160" s="42"/>
      <c r="M160" s="42"/>
    </row>
    <row r="161">
      <c r="A161" s="190"/>
      <c r="B161" s="184"/>
      <c r="C161" s="194"/>
      <c r="D161" s="194"/>
      <c r="E161" s="107"/>
      <c r="G161" s="42"/>
      <c r="H161" s="42"/>
      <c r="I161" s="42"/>
      <c r="J161" s="42"/>
      <c r="K161" s="42"/>
      <c r="L161" s="42"/>
      <c r="M161" s="42"/>
    </row>
    <row r="162">
      <c r="A162" s="188"/>
      <c r="B162" s="186"/>
      <c r="C162" s="189"/>
      <c r="D162" s="186"/>
      <c r="E162" s="107"/>
      <c r="G162" s="42"/>
      <c r="H162" s="42"/>
      <c r="I162" s="42"/>
      <c r="J162" s="42"/>
      <c r="K162" s="42"/>
      <c r="L162" s="42"/>
      <c r="M162" s="42"/>
    </row>
    <row r="163">
      <c r="A163" s="188"/>
      <c r="B163" s="186"/>
      <c r="C163" s="189"/>
      <c r="D163" s="186"/>
      <c r="E163" s="107"/>
      <c r="G163" s="42"/>
      <c r="H163" s="42"/>
      <c r="I163" s="42"/>
      <c r="J163" s="42"/>
      <c r="K163" s="42"/>
      <c r="L163" s="42"/>
      <c r="M163" s="42"/>
    </row>
    <row r="164">
      <c r="A164" s="188"/>
      <c r="B164" s="186"/>
      <c r="C164" s="189"/>
      <c r="D164" s="186"/>
      <c r="E164" s="107"/>
      <c r="G164" s="42"/>
      <c r="H164" s="42"/>
      <c r="I164" s="42"/>
      <c r="J164" s="42"/>
      <c r="K164" s="42"/>
      <c r="L164" s="42"/>
      <c r="M164" s="42"/>
    </row>
    <row r="165">
      <c r="A165" s="188"/>
      <c r="B165" s="186"/>
      <c r="C165" s="189"/>
      <c r="D165" s="186"/>
      <c r="E165" s="107"/>
      <c r="G165" s="42"/>
      <c r="H165" s="42"/>
      <c r="I165" s="42"/>
      <c r="J165" s="42"/>
      <c r="K165" s="42"/>
      <c r="L165" s="42"/>
      <c r="M165" s="42"/>
    </row>
    <row r="166">
      <c r="A166" s="188"/>
      <c r="B166" s="186"/>
      <c r="C166" s="189"/>
      <c r="D166" s="186"/>
      <c r="E166" s="107"/>
      <c r="G166" s="42"/>
      <c r="H166" s="42"/>
      <c r="I166" s="42"/>
      <c r="J166" s="42"/>
      <c r="K166" s="42"/>
      <c r="L166" s="42"/>
      <c r="M166" s="42"/>
    </row>
    <row r="167">
      <c r="A167" s="188"/>
      <c r="B167" s="186"/>
      <c r="C167" s="189"/>
      <c r="D167" s="186"/>
      <c r="E167" s="107"/>
      <c r="G167" s="42"/>
      <c r="H167" s="42"/>
      <c r="I167" s="42"/>
      <c r="J167" s="42"/>
      <c r="K167" s="42"/>
      <c r="L167" s="42"/>
      <c r="M167" s="42"/>
    </row>
    <row r="168">
      <c r="A168" s="190"/>
      <c r="B168" s="184"/>
      <c r="C168" s="194"/>
      <c r="D168" s="194"/>
      <c r="E168" s="107"/>
      <c r="G168" s="42"/>
      <c r="H168" s="42"/>
      <c r="I168" s="42"/>
      <c r="J168" s="42"/>
      <c r="K168" s="42"/>
      <c r="L168" s="42"/>
      <c r="M168" s="42"/>
    </row>
    <row r="169">
      <c r="A169" s="188"/>
      <c r="B169" s="186"/>
      <c r="C169" s="189"/>
      <c r="D169" s="186"/>
      <c r="E169" s="107"/>
      <c r="G169" s="42"/>
      <c r="H169" s="42"/>
      <c r="I169" s="42"/>
      <c r="J169" s="42"/>
      <c r="K169" s="42"/>
      <c r="L169" s="42"/>
      <c r="M169" s="42"/>
    </row>
    <row r="170">
      <c r="A170" s="188"/>
      <c r="B170" s="186"/>
      <c r="C170" s="189"/>
      <c r="D170" s="186"/>
      <c r="E170" s="107"/>
      <c r="G170" s="42"/>
      <c r="H170" s="42"/>
      <c r="I170" s="42"/>
      <c r="J170" s="42"/>
      <c r="K170" s="42"/>
      <c r="L170" s="42"/>
      <c r="M170" s="42"/>
    </row>
    <row r="171">
      <c r="A171" s="188"/>
      <c r="B171" s="186"/>
      <c r="C171" s="189"/>
      <c r="D171" s="186"/>
      <c r="E171" s="107"/>
      <c r="G171" s="42"/>
      <c r="H171" s="42"/>
      <c r="I171" s="42"/>
      <c r="J171" s="42"/>
      <c r="K171" s="42"/>
      <c r="L171" s="42"/>
      <c r="M171" s="42"/>
    </row>
    <row r="172">
      <c r="A172" s="188"/>
      <c r="B172" s="186"/>
      <c r="C172" s="189"/>
      <c r="D172" s="186"/>
      <c r="E172" s="107"/>
      <c r="G172" s="42"/>
      <c r="H172" s="42"/>
      <c r="I172" s="42"/>
      <c r="J172" s="42"/>
      <c r="K172" s="42"/>
      <c r="L172" s="42"/>
      <c r="M172" s="42"/>
    </row>
    <row r="173">
      <c r="A173" s="190"/>
      <c r="B173" s="184"/>
      <c r="C173" s="194"/>
      <c r="D173" s="194"/>
      <c r="E173" s="107"/>
      <c r="G173" s="42"/>
      <c r="H173" s="42"/>
      <c r="I173" s="42"/>
      <c r="J173" s="42"/>
      <c r="K173" s="42"/>
      <c r="L173" s="42"/>
      <c r="M173" s="42"/>
    </row>
    <row r="174">
      <c r="A174" s="174"/>
      <c r="B174" s="175"/>
      <c r="C174" s="176"/>
      <c r="D174" s="175"/>
      <c r="E174" s="107"/>
      <c r="G174" s="42"/>
      <c r="H174" s="42"/>
      <c r="I174" s="42"/>
      <c r="J174" s="42"/>
      <c r="K174" s="42"/>
      <c r="L174" s="42"/>
      <c r="M174" s="42"/>
    </row>
    <row r="175">
      <c r="A175" s="177"/>
      <c r="B175" s="178"/>
      <c r="C175" s="180"/>
      <c r="D175" s="180"/>
      <c r="E175" s="107"/>
      <c r="G175" s="42"/>
      <c r="H175" s="42"/>
      <c r="I175" s="42"/>
      <c r="J175" s="42"/>
      <c r="K175" s="42"/>
      <c r="L175" s="42"/>
      <c r="M175" s="42"/>
    </row>
    <row r="176">
      <c r="A176" s="174"/>
      <c r="B176" s="175"/>
      <c r="C176" s="176"/>
      <c r="D176" s="175"/>
      <c r="E176" s="107"/>
      <c r="G176" s="42"/>
      <c r="H176" s="42"/>
      <c r="I176" s="42"/>
      <c r="J176" s="42"/>
      <c r="K176" s="42"/>
      <c r="L176" s="42"/>
      <c r="M176" s="42"/>
    </row>
    <row r="177">
      <c r="A177" s="174"/>
      <c r="B177" s="175"/>
      <c r="C177" s="176"/>
      <c r="D177" s="175"/>
      <c r="E177" s="107"/>
      <c r="G177" s="42"/>
      <c r="H177" s="42"/>
      <c r="I177" s="42"/>
      <c r="J177" s="42"/>
      <c r="K177" s="42"/>
      <c r="L177" s="42"/>
      <c r="M177" s="42"/>
    </row>
    <row r="178">
      <c r="A178" s="174"/>
      <c r="B178" s="175"/>
      <c r="C178" s="176"/>
      <c r="D178" s="175"/>
      <c r="E178" s="107"/>
      <c r="G178" s="42"/>
      <c r="H178" s="42"/>
      <c r="I178" s="42"/>
      <c r="J178" s="42"/>
      <c r="K178" s="42"/>
      <c r="L178" s="42"/>
      <c r="M178" s="42"/>
    </row>
    <row r="179">
      <c r="A179" s="177"/>
      <c r="B179" s="178"/>
      <c r="C179" s="180"/>
      <c r="D179" s="180"/>
      <c r="E179" s="107"/>
      <c r="G179" s="42"/>
      <c r="H179" s="42"/>
      <c r="I179" s="42"/>
      <c r="J179" s="42"/>
      <c r="K179" s="42"/>
      <c r="L179" s="42"/>
      <c r="M179" s="42"/>
    </row>
    <row r="180">
      <c r="A180" s="181"/>
      <c r="B180" s="178"/>
      <c r="C180" s="182"/>
      <c r="D180" s="183"/>
      <c r="E180" s="107"/>
      <c r="G180" s="42"/>
      <c r="H180" s="42"/>
      <c r="I180" s="42"/>
      <c r="J180" s="42"/>
      <c r="K180" s="42"/>
      <c r="L180" s="42"/>
      <c r="M180" s="42"/>
    </row>
    <row r="181">
      <c r="A181" s="181"/>
      <c r="B181" s="178"/>
      <c r="C181" s="182"/>
      <c r="D181" s="183"/>
      <c r="E181" s="107"/>
      <c r="G181" s="42"/>
      <c r="H181" s="42"/>
      <c r="I181" s="42"/>
      <c r="J181" s="42"/>
      <c r="K181" s="42"/>
      <c r="L181" s="42"/>
      <c r="M181" s="42"/>
    </row>
    <row r="182">
      <c r="A182" s="181"/>
      <c r="B182" s="178"/>
      <c r="C182" s="182"/>
      <c r="D182" s="183"/>
      <c r="E182" s="107"/>
      <c r="G182" s="42"/>
      <c r="H182" s="42"/>
      <c r="I182" s="42"/>
      <c r="J182" s="42"/>
      <c r="K182" s="42"/>
      <c r="L182" s="42"/>
      <c r="M182" s="42"/>
    </row>
    <row r="183">
      <c r="A183" s="177"/>
      <c r="B183" s="178"/>
      <c r="C183" s="180"/>
      <c r="D183" s="180"/>
      <c r="E183" s="107"/>
      <c r="G183" s="42"/>
      <c r="H183" s="42"/>
      <c r="I183" s="42"/>
      <c r="J183" s="42"/>
      <c r="K183" s="42"/>
      <c r="L183" s="42"/>
      <c r="M183" s="42"/>
    </row>
    <row r="184">
      <c r="A184" s="177"/>
      <c r="B184" s="178"/>
      <c r="C184" s="180"/>
      <c r="D184" s="180"/>
      <c r="E184" s="107"/>
      <c r="G184" s="42"/>
      <c r="H184" s="42"/>
      <c r="I184" s="42"/>
      <c r="J184" s="42"/>
      <c r="K184" s="42"/>
      <c r="L184" s="42"/>
      <c r="M184" s="42"/>
    </row>
    <row r="185">
      <c r="A185" s="174"/>
      <c r="B185" s="175"/>
      <c r="C185" s="176"/>
      <c r="D185" s="175"/>
      <c r="E185" s="107"/>
      <c r="G185" s="42"/>
      <c r="H185" s="42"/>
      <c r="I185" s="42"/>
      <c r="J185" s="42"/>
      <c r="K185" s="42"/>
      <c r="L185" s="42"/>
      <c r="M185" s="42"/>
    </row>
    <row r="186">
      <c r="A186" s="174"/>
      <c r="B186" s="175"/>
      <c r="C186" s="176"/>
      <c r="D186" s="175"/>
      <c r="E186" s="107"/>
      <c r="G186" s="42"/>
      <c r="H186" s="42"/>
      <c r="I186" s="42"/>
      <c r="J186" s="42"/>
      <c r="K186" s="42"/>
      <c r="L186" s="42"/>
      <c r="M186" s="42"/>
    </row>
    <row r="187">
      <c r="A187" s="174"/>
      <c r="B187" s="175"/>
      <c r="C187" s="176"/>
      <c r="D187" s="175"/>
      <c r="E187" s="107"/>
      <c r="G187" s="42"/>
      <c r="H187" s="42"/>
      <c r="I187" s="42"/>
      <c r="J187" s="42"/>
      <c r="K187" s="42"/>
      <c r="L187" s="42"/>
      <c r="M187" s="42"/>
    </row>
    <row r="188">
      <c r="A188" s="174"/>
      <c r="B188" s="175"/>
      <c r="C188" s="176"/>
      <c r="D188" s="175"/>
      <c r="E188" s="107"/>
      <c r="G188" s="42"/>
      <c r="H188" s="42"/>
      <c r="I188" s="42"/>
      <c r="J188" s="42"/>
      <c r="K188" s="42"/>
      <c r="L188" s="42"/>
      <c r="M188" s="42"/>
    </row>
    <row r="189">
      <c r="A189" s="174"/>
      <c r="B189" s="175"/>
      <c r="C189" s="176"/>
      <c r="D189" s="175"/>
      <c r="E189" s="107"/>
      <c r="G189" s="42"/>
      <c r="H189" s="42"/>
      <c r="I189" s="42"/>
      <c r="J189" s="42"/>
      <c r="K189" s="42"/>
      <c r="L189" s="42"/>
      <c r="M189" s="42"/>
    </row>
    <row r="190">
      <c r="A190" s="174"/>
      <c r="B190" s="175"/>
      <c r="C190" s="176"/>
      <c r="D190" s="175"/>
      <c r="E190" s="107"/>
      <c r="G190" s="42"/>
      <c r="H190" s="42"/>
      <c r="I190" s="42"/>
      <c r="J190" s="42"/>
      <c r="K190" s="42"/>
      <c r="L190" s="42"/>
      <c r="M190" s="42"/>
    </row>
    <row r="191">
      <c r="A191" s="181"/>
      <c r="B191" s="178"/>
      <c r="C191" s="182"/>
      <c r="D191" s="183"/>
      <c r="E191" s="107"/>
      <c r="G191" s="42"/>
      <c r="H191" s="42"/>
      <c r="I191" s="42"/>
      <c r="J191" s="42"/>
      <c r="K191" s="42"/>
      <c r="L191" s="42"/>
      <c r="M191" s="42"/>
    </row>
    <row r="192">
      <c r="A192" s="181"/>
      <c r="B192" s="178"/>
      <c r="C192" s="182"/>
      <c r="D192" s="183"/>
      <c r="E192" s="107"/>
      <c r="G192" s="42"/>
      <c r="H192" s="42"/>
      <c r="I192" s="42"/>
      <c r="J192" s="42"/>
      <c r="K192" s="42"/>
      <c r="L192" s="42"/>
      <c r="M192" s="42"/>
    </row>
    <row r="193">
      <c r="A193" s="181"/>
      <c r="B193" s="178"/>
      <c r="C193" s="182"/>
      <c r="D193" s="183"/>
      <c r="E193" s="107"/>
      <c r="G193" s="42"/>
      <c r="H193" s="42"/>
      <c r="I193" s="42"/>
      <c r="J193" s="42"/>
      <c r="K193" s="42"/>
      <c r="L193" s="42"/>
      <c r="M193" s="42"/>
    </row>
    <row r="194">
      <c r="A194" s="174"/>
      <c r="B194" s="175"/>
      <c r="C194" s="176"/>
      <c r="D194" s="175"/>
      <c r="E194" s="107"/>
      <c r="G194" s="42"/>
      <c r="H194" s="42"/>
      <c r="I194" s="42"/>
      <c r="J194" s="42"/>
      <c r="K194" s="42"/>
      <c r="L194" s="42"/>
      <c r="M194" s="42"/>
    </row>
    <row r="195">
      <c r="A195" s="174"/>
      <c r="B195" s="175"/>
      <c r="C195" s="176"/>
      <c r="D195" s="175"/>
      <c r="E195" s="107"/>
      <c r="G195" s="42"/>
      <c r="H195" s="42"/>
      <c r="I195" s="42"/>
      <c r="J195" s="42"/>
      <c r="K195" s="42"/>
      <c r="L195" s="42"/>
      <c r="M195" s="42"/>
    </row>
    <row r="196">
      <c r="A196" s="174"/>
      <c r="B196" s="175"/>
      <c r="C196" s="176"/>
      <c r="D196" s="175"/>
      <c r="E196" s="107"/>
      <c r="G196" s="42"/>
      <c r="H196" s="42"/>
      <c r="I196" s="42"/>
      <c r="J196" s="42"/>
      <c r="K196" s="42"/>
      <c r="L196" s="42"/>
      <c r="M196" s="42"/>
    </row>
    <row r="197">
      <c r="A197" s="177"/>
      <c r="B197" s="178"/>
      <c r="C197" s="180"/>
      <c r="D197" s="180"/>
      <c r="E197" s="107"/>
      <c r="G197" s="42"/>
      <c r="H197" s="42"/>
      <c r="I197" s="42"/>
      <c r="J197" s="42"/>
      <c r="K197" s="42"/>
      <c r="L197" s="42"/>
      <c r="M197" s="42"/>
    </row>
    <row r="198">
      <c r="A198" s="177"/>
      <c r="B198" s="178"/>
      <c r="C198" s="180"/>
      <c r="D198" s="180"/>
      <c r="E198" s="107"/>
      <c r="G198" s="42"/>
      <c r="H198" s="42"/>
      <c r="I198" s="42"/>
      <c r="J198" s="42"/>
      <c r="K198" s="42"/>
      <c r="L198" s="42"/>
      <c r="M198" s="42"/>
    </row>
    <row r="199">
      <c r="A199" s="177"/>
      <c r="B199" s="178"/>
      <c r="C199" s="180"/>
      <c r="D199" s="180"/>
      <c r="E199" s="107"/>
      <c r="G199" s="42"/>
      <c r="H199" s="42"/>
      <c r="I199" s="42"/>
      <c r="J199" s="42"/>
      <c r="K199" s="42"/>
      <c r="L199" s="42"/>
      <c r="M199" s="42"/>
    </row>
    <row r="200">
      <c r="A200" s="203"/>
      <c r="B200" s="203"/>
      <c r="C200" s="203"/>
      <c r="D200" s="203"/>
      <c r="E200" s="107"/>
      <c r="G200" s="42"/>
      <c r="H200" s="42"/>
      <c r="I200" s="42"/>
      <c r="J200" s="42"/>
      <c r="K200" s="42"/>
      <c r="L200" s="42"/>
      <c r="M200" s="42"/>
    </row>
    <row r="201">
      <c r="A201" s="203"/>
      <c r="B201" s="203"/>
      <c r="C201" s="203"/>
      <c r="D201" s="203"/>
      <c r="E201" s="107"/>
      <c r="G201" s="42"/>
      <c r="H201" s="42"/>
      <c r="I201" s="42"/>
      <c r="J201" s="42"/>
      <c r="K201" s="42"/>
      <c r="L201" s="42"/>
      <c r="M201" s="42"/>
    </row>
    <row r="202">
      <c r="A202" s="203"/>
      <c r="B202" s="203"/>
      <c r="C202" s="203"/>
      <c r="D202" s="203"/>
      <c r="E202" s="107"/>
      <c r="G202" s="42"/>
      <c r="H202" s="42"/>
      <c r="I202" s="42"/>
      <c r="J202" s="42"/>
      <c r="K202" s="42"/>
      <c r="L202" s="42"/>
      <c r="M202" s="42"/>
    </row>
    <row r="203">
      <c r="A203" s="203"/>
      <c r="B203" s="203"/>
      <c r="C203" s="203"/>
      <c r="D203" s="203"/>
      <c r="E203" s="107"/>
      <c r="G203" s="42"/>
      <c r="H203" s="42"/>
      <c r="I203" s="42"/>
      <c r="J203" s="42"/>
      <c r="K203" s="42"/>
      <c r="L203" s="42"/>
      <c r="M203" s="42"/>
    </row>
    <row r="204">
      <c r="A204" s="203"/>
      <c r="B204" s="203"/>
      <c r="C204" s="203"/>
      <c r="D204" s="203"/>
      <c r="E204" s="107"/>
      <c r="G204" s="42"/>
      <c r="H204" s="42"/>
      <c r="I204" s="42"/>
      <c r="J204" s="42"/>
      <c r="K204" s="42"/>
      <c r="L204" s="42"/>
      <c r="M204" s="42"/>
    </row>
    <row r="205">
      <c r="A205" s="203"/>
      <c r="B205" s="203"/>
      <c r="C205" s="203"/>
      <c r="D205" s="203"/>
      <c r="E205" s="107"/>
      <c r="G205" s="42"/>
      <c r="H205" s="42"/>
      <c r="I205" s="42"/>
      <c r="J205" s="42"/>
      <c r="K205" s="42"/>
      <c r="L205" s="42"/>
      <c r="M205" s="42"/>
    </row>
    <row r="206">
      <c r="A206" s="203"/>
      <c r="B206" s="203"/>
      <c r="C206" s="203"/>
      <c r="D206" s="203"/>
      <c r="E206" s="107"/>
      <c r="G206" s="42"/>
      <c r="H206" s="42"/>
      <c r="I206" s="42"/>
      <c r="J206" s="42"/>
      <c r="K206" s="42"/>
      <c r="L206" s="42"/>
      <c r="M206" s="42"/>
    </row>
    <row r="207">
      <c r="A207" s="203"/>
      <c r="B207" s="203"/>
      <c r="C207" s="203"/>
      <c r="D207" s="203"/>
      <c r="E207" s="107"/>
      <c r="G207" s="42"/>
      <c r="H207" s="42"/>
      <c r="I207" s="42"/>
      <c r="J207" s="42"/>
      <c r="K207" s="42"/>
      <c r="L207" s="42"/>
      <c r="M207" s="42"/>
    </row>
    <row r="208">
      <c r="A208" s="203"/>
      <c r="B208" s="203"/>
      <c r="C208" s="203"/>
      <c r="D208" s="203"/>
      <c r="E208" s="107"/>
      <c r="G208" s="42"/>
      <c r="H208" s="42"/>
      <c r="I208" s="42"/>
      <c r="J208" s="42"/>
      <c r="K208" s="42"/>
      <c r="L208" s="42"/>
      <c r="M208" s="42"/>
    </row>
    <row r="209">
      <c r="A209" s="203"/>
      <c r="B209" s="203"/>
      <c r="C209" s="203"/>
      <c r="D209" s="203"/>
      <c r="E209" s="107"/>
      <c r="G209" s="42"/>
      <c r="H209" s="42"/>
      <c r="I209" s="42"/>
      <c r="J209" s="42"/>
      <c r="K209" s="42"/>
      <c r="L209" s="42"/>
      <c r="M209" s="42"/>
    </row>
    <row r="210">
      <c r="A210" s="203"/>
      <c r="B210" s="203"/>
      <c r="C210" s="203"/>
      <c r="D210" s="203"/>
      <c r="E210" s="132"/>
      <c r="G210" s="42"/>
      <c r="H210" s="42"/>
      <c r="I210" s="42"/>
      <c r="J210" s="42"/>
      <c r="K210" s="42"/>
      <c r="L210" s="42"/>
      <c r="M210" s="42"/>
    </row>
    <row r="211">
      <c r="A211" s="203"/>
      <c r="B211" s="203"/>
      <c r="C211" s="203"/>
      <c r="D211" s="203"/>
      <c r="E211" s="107"/>
      <c r="G211" s="42"/>
      <c r="H211" s="42"/>
      <c r="I211" s="42"/>
      <c r="J211" s="42"/>
      <c r="K211" s="42"/>
      <c r="L211" s="42"/>
      <c r="M211" s="42"/>
    </row>
    <row r="212">
      <c r="A212" s="203"/>
      <c r="B212" s="203"/>
      <c r="C212" s="203"/>
      <c r="D212" s="203"/>
      <c r="E212" s="107"/>
      <c r="G212" s="42"/>
      <c r="H212" s="42"/>
      <c r="I212" s="42"/>
      <c r="J212" s="42"/>
      <c r="K212" s="42"/>
      <c r="L212" s="42"/>
      <c r="M212" s="42"/>
    </row>
    <row r="213">
      <c r="A213" s="203"/>
      <c r="B213" s="203"/>
      <c r="C213" s="203"/>
      <c r="D213" s="203"/>
      <c r="E213" s="107"/>
      <c r="G213" s="42"/>
      <c r="H213" s="42"/>
      <c r="I213" s="42"/>
      <c r="J213" s="42"/>
      <c r="K213" s="42"/>
      <c r="L213" s="42"/>
      <c r="M213" s="42"/>
    </row>
    <row r="214">
      <c r="A214" s="203"/>
      <c r="B214" s="203"/>
      <c r="C214" s="203"/>
      <c r="D214" s="203"/>
      <c r="E214" s="107"/>
      <c r="G214" s="42"/>
      <c r="H214" s="42"/>
      <c r="I214" s="42"/>
      <c r="J214" s="42"/>
      <c r="K214" s="42"/>
      <c r="L214" s="42"/>
      <c r="M214" s="42"/>
    </row>
    <row r="215">
      <c r="A215" s="203"/>
      <c r="B215" s="203"/>
      <c r="C215" s="203"/>
      <c r="D215" s="203"/>
      <c r="E215" s="107"/>
      <c r="G215" s="42"/>
      <c r="H215" s="42"/>
      <c r="I215" s="42"/>
      <c r="J215" s="42"/>
      <c r="K215" s="42"/>
      <c r="L215" s="42"/>
      <c r="M215" s="42"/>
    </row>
    <row r="216">
      <c r="A216" s="203"/>
      <c r="B216" s="203"/>
      <c r="C216" s="203"/>
      <c r="D216" s="203"/>
      <c r="E216" s="107"/>
      <c r="G216" s="42"/>
      <c r="H216" s="42"/>
      <c r="I216" s="42"/>
      <c r="J216" s="42"/>
      <c r="K216" s="42"/>
      <c r="L216" s="42"/>
      <c r="M216" s="42"/>
    </row>
    <row r="217">
      <c r="A217" s="203"/>
      <c r="B217" s="203"/>
      <c r="C217" s="203"/>
      <c r="D217" s="203"/>
      <c r="E217" s="107"/>
      <c r="G217" s="42"/>
      <c r="H217" s="42"/>
      <c r="I217" s="42"/>
      <c r="J217" s="42"/>
      <c r="K217" s="42"/>
      <c r="L217" s="42"/>
      <c r="M217" s="42"/>
    </row>
    <row r="218">
      <c r="A218" s="203"/>
      <c r="B218" s="203"/>
      <c r="C218" s="203"/>
      <c r="D218" s="203"/>
      <c r="E218" s="107"/>
      <c r="G218" s="42"/>
      <c r="H218" s="42"/>
      <c r="I218" s="42"/>
      <c r="J218" s="42"/>
      <c r="K218" s="42"/>
      <c r="L218" s="42"/>
      <c r="M218" s="42"/>
    </row>
    <row r="219">
      <c r="A219" s="181"/>
      <c r="B219" s="178"/>
      <c r="C219" s="182"/>
      <c r="D219" s="183"/>
      <c r="E219" s="107"/>
      <c r="G219" s="42"/>
      <c r="H219" s="42"/>
      <c r="I219" s="42"/>
      <c r="J219" s="42"/>
      <c r="K219" s="42"/>
      <c r="L219" s="42"/>
      <c r="M219" s="42"/>
    </row>
    <row r="220">
      <c r="A220" s="181"/>
      <c r="B220" s="178"/>
      <c r="C220" s="182"/>
      <c r="D220" s="183"/>
      <c r="E220" s="107"/>
      <c r="G220" s="42"/>
      <c r="H220" s="42"/>
      <c r="I220" s="42"/>
      <c r="J220" s="42"/>
      <c r="K220" s="42"/>
      <c r="L220" s="42"/>
      <c r="M220" s="42"/>
    </row>
    <row r="221">
      <c r="A221" s="181"/>
      <c r="B221" s="178"/>
      <c r="C221" s="182"/>
      <c r="D221" s="183"/>
      <c r="E221" s="107"/>
      <c r="G221" s="42"/>
      <c r="H221" s="42"/>
      <c r="I221" s="42"/>
      <c r="J221" s="42"/>
      <c r="K221" s="42"/>
      <c r="L221" s="42"/>
      <c r="M221" s="42"/>
    </row>
    <row r="222">
      <c r="A222" s="181"/>
      <c r="B222" s="178"/>
      <c r="C222" s="182"/>
      <c r="D222" s="183"/>
      <c r="E222" s="107"/>
      <c r="G222" s="42"/>
      <c r="H222" s="42"/>
      <c r="I222" s="42"/>
      <c r="J222" s="42"/>
      <c r="K222" s="42"/>
      <c r="L222" s="42"/>
      <c r="M222" s="42"/>
    </row>
    <row r="223">
      <c r="A223" s="181"/>
      <c r="B223" s="178"/>
      <c r="C223" s="182"/>
      <c r="D223" s="183"/>
      <c r="E223" s="107"/>
      <c r="G223" s="42"/>
      <c r="H223" s="42"/>
      <c r="I223" s="42"/>
      <c r="J223" s="42"/>
      <c r="K223" s="42"/>
      <c r="L223" s="42"/>
      <c r="M223" s="42"/>
    </row>
    <row r="224">
      <c r="A224" s="181"/>
      <c r="B224" s="178"/>
      <c r="C224" s="182"/>
      <c r="D224" s="183"/>
      <c r="E224" s="107"/>
      <c r="G224" s="42"/>
      <c r="H224" s="42"/>
      <c r="I224" s="42"/>
      <c r="J224" s="42"/>
      <c r="K224" s="42"/>
      <c r="L224" s="42"/>
      <c r="M224" s="42"/>
    </row>
    <row r="225">
      <c r="A225" s="181"/>
      <c r="B225" s="178"/>
      <c r="C225" s="182"/>
      <c r="D225" s="183"/>
      <c r="E225" s="107"/>
      <c r="G225" s="42"/>
      <c r="H225" s="42"/>
      <c r="I225" s="42"/>
      <c r="J225" s="42"/>
      <c r="K225" s="42"/>
      <c r="L225" s="42"/>
      <c r="M225" s="42"/>
    </row>
    <row r="226">
      <c r="A226" s="181"/>
      <c r="B226" s="178"/>
      <c r="C226" s="182"/>
      <c r="D226" s="183"/>
      <c r="E226" s="107"/>
      <c r="G226" s="42"/>
      <c r="H226" s="42"/>
      <c r="I226" s="42"/>
      <c r="J226" s="42"/>
      <c r="K226" s="42"/>
      <c r="L226" s="42"/>
      <c r="M226" s="42"/>
    </row>
    <row r="227">
      <c r="A227" s="181"/>
      <c r="B227" s="178"/>
      <c r="C227" s="182"/>
      <c r="D227" s="183"/>
      <c r="E227" s="107"/>
      <c r="G227" s="42"/>
      <c r="H227" s="42"/>
      <c r="I227" s="42"/>
      <c r="J227" s="42"/>
      <c r="K227" s="42"/>
      <c r="L227" s="42"/>
      <c r="M227" s="42"/>
    </row>
    <row r="228">
      <c r="A228" s="181"/>
      <c r="B228" s="178"/>
      <c r="C228" s="182"/>
      <c r="D228" s="183"/>
      <c r="E228" s="107"/>
      <c r="G228" s="42"/>
      <c r="H228" s="42"/>
      <c r="I228" s="42"/>
      <c r="J228" s="42"/>
      <c r="K228" s="42"/>
      <c r="L228" s="42"/>
      <c r="M228" s="42"/>
    </row>
    <row r="229">
      <c r="A229" s="181"/>
      <c r="B229" s="178"/>
      <c r="C229" s="182"/>
      <c r="D229" s="183"/>
      <c r="E229" s="107"/>
      <c r="G229" s="42"/>
      <c r="H229" s="42"/>
      <c r="I229" s="42"/>
      <c r="J229" s="42"/>
      <c r="K229" s="42"/>
      <c r="L229" s="42"/>
      <c r="M229" s="42"/>
    </row>
    <row r="230">
      <c r="A230" s="181"/>
      <c r="B230" s="178"/>
      <c r="C230" s="182"/>
      <c r="D230" s="183"/>
      <c r="E230" s="107"/>
      <c r="G230" s="42"/>
      <c r="H230" s="42"/>
      <c r="I230" s="42"/>
      <c r="J230" s="42"/>
      <c r="K230" s="42"/>
      <c r="L230" s="42"/>
      <c r="M230" s="42"/>
    </row>
    <row r="231">
      <c r="A231" s="181"/>
      <c r="B231" s="178"/>
      <c r="C231" s="182"/>
      <c r="D231" s="183"/>
      <c r="E231" s="107"/>
      <c r="G231" s="42"/>
      <c r="H231" s="42"/>
      <c r="I231" s="42"/>
      <c r="J231" s="42"/>
      <c r="K231" s="42"/>
      <c r="L231" s="42"/>
      <c r="M231" s="42"/>
    </row>
    <row r="232">
      <c r="A232" s="44"/>
      <c r="B232" s="113"/>
      <c r="C232" s="93"/>
      <c r="D232" s="41"/>
      <c r="E232" s="107"/>
      <c r="G232" s="42"/>
      <c r="H232" s="42"/>
      <c r="I232" s="42"/>
      <c r="J232" s="42"/>
      <c r="K232" s="42"/>
      <c r="L232" s="42"/>
      <c r="M232" s="42"/>
    </row>
    <row r="233">
      <c r="A233" s="44"/>
      <c r="B233" s="113"/>
      <c r="C233" s="93"/>
      <c r="D233" s="41"/>
      <c r="E233" s="107"/>
      <c r="G233" s="42"/>
      <c r="H233" s="42"/>
      <c r="I233" s="42"/>
      <c r="J233" s="42"/>
      <c r="K233" s="42"/>
      <c r="L233" s="42"/>
      <c r="M233" s="42"/>
    </row>
    <row r="234">
      <c r="A234" s="44"/>
      <c r="B234" s="113"/>
      <c r="C234" s="93"/>
      <c r="D234" s="41"/>
      <c r="E234" s="107"/>
      <c r="G234" s="42"/>
      <c r="H234" s="42"/>
      <c r="I234" s="42"/>
      <c r="J234" s="42"/>
      <c r="K234" s="42"/>
      <c r="L234" s="42"/>
      <c r="M234" s="42"/>
    </row>
    <row r="235">
      <c r="A235" s="44"/>
      <c r="B235" s="113"/>
      <c r="C235" s="93"/>
      <c r="D235" s="41"/>
      <c r="E235" s="107"/>
      <c r="G235" s="42"/>
      <c r="H235" s="42"/>
      <c r="I235" s="42"/>
      <c r="J235" s="42"/>
      <c r="K235" s="42"/>
      <c r="L235" s="42"/>
      <c r="M235" s="42"/>
    </row>
  </sheetData>
  <autoFilter ref="$A$31:$D$155">
    <sortState ref="A31:D155">
      <sortCondition descending="1" ref="C31:C155"/>
      <sortCondition ref="A31:A155"/>
    </sortState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7 D32 D35 D55 D61:D62 B30:B94 B96 D131 D135 D139 D144 D146 D150 D152 D156:D157 D159 D162:D167 D169:D172 D174 B98:B177 D176:D178 D185:D190 D194:D196 B179:B199 B219:B235">
      <formula1>'Hidden list and Figures'!$A$3:$A$15</formula1>
    </dataValidation>
    <dataValidation type="custom" allowBlank="1" showDropDown="1" showInputMessage="1" prompt="Select a date" sqref="A32:A47 A49:A50 A52 A54:A57 A59:A91 A98:A101 A106:A199 A219:A235">
      <formula1>OR(NOT(ISERROR(DATEVALUE(A32))), AND(ISNUMBER(A32), LEFT(CELL("format", A32))="D"))</formula1>
    </dataValidation>
    <dataValidation type="list" allowBlank="1" sqref="B178">
      <formula1>'Hidden list and Figures'!$A$3:$A$15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sumif($B$20:$C$554,A6,$C$20:$C$554)</f>
        <v>1732.69</v>
      </c>
      <c r="D6" s="17">
        <f t="shared" ref="D6:D16" si="2">B6-C6</f>
        <v>930.99</v>
      </c>
      <c r="E6" s="18">
        <f t="shared" ref="E6:E17" si="3">D6/B6</f>
        <v>0.3495127042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3038.0</v>
      </c>
    </row>
    <row r="8">
      <c r="A8" s="21" t="s">
        <v>14</v>
      </c>
      <c r="B8" s="22">
        <v>250.0</v>
      </c>
      <c r="C8" s="16">
        <f t="shared" si="1"/>
        <v>4441.23</v>
      </c>
      <c r="D8" s="23">
        <f t="shared" si="2"/>
        <v>-4191.23</v>
      </c>
      <c r="E8" s="18">
        <f t="shared" si="3"/>
        <v>-16.76492</v>
      </c>
      <c r="G8" s="64" t="s">
        <v>27</v>
      </c>
      <c r="H8" s="92">
        <f>SUM(H6:H7)</f>
        <v>3038</v>
      </c>
    </row>
    <row r="9">
      <c r="A9" s="24" t="s">
        <v>15</v>
      </c>
      <c r="B9" s="22">
        <v>400.0</v>
      </c>
      <c r="C9" s="16">
        <f t="shared" si="1"/>
        <v>838.37</v>
      </c>
      <c r="D9" s="23">
        <f t="shared" si="2"/>
        <v>-438.37</v>
      </c>
      <c r="E9" s="18">
        <f t="shared" si="3"/>
        <v>-1.095925</v>
      </c>
    </row>
    <row r="10">
      <c r="A10" s="24" t="s">
        <v>17</v>
      </c>
      <c r="B10" s="22">
        <v>400.0</v>
      </c>
      <c r="C10" s="16">
        <f t="shared" si="1"/>
        <v>702.67375</v>
      </c>
      <c r="D10" s="23">
        <f t="shared" si="2"/>
        <v>-302.67375</v>
      </c>
      <c r="E10" s="18">
        <f t="shared" si="3"/>
        <v>-0.756684375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-292.05</v>
      </c>
      <c r="D11" s="23">
        <f t="shared" si="2"/>
        <v>492.05</v>
      </c>
      <c r="E11" s="18">
        <f t="shared" si="3"/>
        <v>2.46025</v>
      </c>
      <c r="G11" s="19" t="s">
        <v>18</v>
      </c>
      <c r="H11" s="14">
        <f>sum(C17)</f>
        <v>9264.267083</v>
      </c>
    </row>
    <row r="12">
      <c r="A12" s="24" t="s">
        <v>79</v>
      </c>
      <c r="B12" s="22">
        <v>500.0</v>
      </c>
      <c r="C12" s="16">
        <f t="shared" si="1"/>
        <v>285.6433333</v>
      </c>
      <c r="D12" s="23">
        <f t="shared" si="2"/>
        <v>214.3566667</v>
      </c>
      <c r="E12" s="18">
        <f t="shared" si="3"/>
        <v>0.4287133333</v>
      </c>
      <c r="H12" s="14"/>
    </row>
    <row r="13">
      <c r="A13" s="25" t="s">
        <v>22</v>
      </c>
      <c r="B13" s="22">
        <v>200.0</v>
      </c>
      <c r="C13" s="16">
        <f t="shared" si="1"/>
        <v>108.31</v>
      </c>
      <c r="D13" s="23">
        <f t="shared" si="2"/>
        <v>91.69</v>
      </c>
      <c r="E13" s="18">
        <f t="shared" si="3"/>
        <v>0.45845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912.06</v>
      </c>
      <c r="D14" s="23">
        <f t="shared" si="2"/>
        <v>-912.06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535.34</v>
      </c>
      <c r="D15" s="28">
        <f t="shared" si="2"/>
        <v>-235.34</v>
      </c>
      <c r="E15" s="18">
        <f t="shared" si="3"/>
        <v>-0.7844666667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SUMIF($B$20:$C$268,"Travel",$C$20:$C$268)</f>
        <v>285.6433333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9264.267083</v>
      </c>
      <c r="D17" s="31">
        <f>SUM(D6:D15)</f>
        <v>-4350.587083</v>
      </c>
      <c r="E17" s="18">
        <f t="shared" si="3"/>
        <v>-0.8854030143</v>
      </c>
      <c r="F17" s="36"/>
      <c r="G17" s="13" t="s">
        <v>28</v>
      </c>
      <c r="H17" s="33">
        <f>500-SUMIF($B$20:$C$268,"Travel",$C$20:$C$268)+'April 2024'!H17</f>
        <v>717.5966667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87.0</v>
      </c>
      <c r="D21" s="95" t="s">
        <v>36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102">
        <v>40.0</v>
      </c>
      <c r="D22" s="41" t="s">
        <v>23</v>
      </c>
      <c r="E22" s="41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2.87</v>
      </c>
      <c r="D23" s="41" t="s">
        <v>39</v>
      </c>
      <c r="E23" s="41"/>
      <c r="G23" s="42"/>
      <c r="H23" s="40"/>
      <c r="I23" s="42"/>
      <c r="J23" s="40"/>
      <c r="K23" s="42"/>
      <c r="L23" s="42"/>
      <c r="M23" s="42"/>
    </row>
    <row r="24">
      <c r="A24" s="40" t="s">
        <v>32</v>
      </c>
      <c r="B24" s="40" t="s">
        <v>10</v>
      </c>
      <c r="C24" s="41">
        <v>2.99</v>
      </c>
      <c r="D24" s="41" t="s">
        <v>40</v>
      </c>
      <c r="E24" s="41"/>
      <c r="G24" s="40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5.83</v>
      </c>
      <c r="D25" s="41" t="s">
        <v>41</v>
      </c>
      <c r="E25" s="41"/>
      <c r="G25" s="40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6.0</v>
      </c>
      <c r="D26" s="41" t="s">
        <v>83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112.0</v>
      </c>
      <c r="D27" s="41" t="s">
        <v>42</v>
      </c>
      <c r="E27" s="41"/>
      <c r="G27" s="42"/>
      <c r="H27" s="40"/>
      <c r="I27" s="42"/>
      <c r="J27" s="42"/>
      <c r="K27" s="42"/>
      <c r="L27" s="42"/>
      <c r="M27" s="42"/>
    </row>
    <row r="28">
      <c r="E28" s="41"/>
      <c r="G28" s="40"/>
      <c r="H28" s="42"/>
      <c r="I28" s="42"/>
      <c r="J28" s="42"/>
      <c r="K28" s="42"/>
      <c r="L28" s="42"/>
      <c r="M28" s="42"/>
    </row>
    <row r="29">
      <c r="E29" s="41"/>
      <c r="G29" s="42"/>
      <c r="H29" s="42"/>
      <c r="I29" s="42"/>
      <c r="J29" s="42"/>
      <c r="K29" s="42"/>
      <c r="L29" s="42"/>
      <c r="M29" s="42"/>
    </row>
    <row r="30">
      <c r="A30" s="43"/>
      <c r="B30" s="40"/>
      <c r="C30" s="41"/>
      <c r="D30" s="41"/>
      <c r="E30" s="41"/>
      <c r="G30" s="40"/>
      <c r="H30" s="42"/>
      <c r="I30" s="42"/>
      <c r="J30" s="42"/>
      <c r="K30" s="42"/>
      <c r="L30" s="42"/>
      <c r="M30" s="42"/>
    </row>
    <row r="31">
      <c r="A31" s="44"/>
      <c r="B31" s="40"/>
      <c r="C31" s="41"/>
      <c r="D31" s="41"/>
      <c r="E31" s="41"/>
      <c r="G31" s="40"/>
      <c r="H31" s="42"/>
      <c r="I31" s="42"/>
      <c r="J31" s="42"/>
      <c r="K31" s="42"/>
      <c r="L31" s="42"/>
      <c r="M31" s="42"/>
    </row>
    <row r="32">
      <c r="A32" s="197">
        <v>45748.0</v>
      </c>
      <c r="B32" s="198" t="s">
        <v>19</v>
      </c>
      <c r="C32" s="199">
        <v>-699.47</v>
      </c>
      <c r="D32" s="198" t="s">
        <v>1156</v>
      </c>
      <c r="E32" s="137"/>
      <c r="G32" s="42"/>
      <c r="H32" s="42"/>
      <c r="I32" s="42"/>
      <c r="J32" s="42"/>
      <c r="K32" s="42"/>
      <c r="L32" s="42"/>
      <c r="M32" s="42"/>
    </row>
    <row r="33">
      <c r="A33" s="197">
        <v>45749.0</v>
      </c>
      <c r="B33" s="198" t="s">
        <v>15</v>
      </c>
      <c r="C33" s="199">
        <v>327.11</v>
      </c>
      <c r="D33" s="200" t="s">
        <v>825</v>
      </c>
      <c r="E33" s="137"/>
      <c r="G33" s="42"/>
      <c r="H33" s="42"/>
      <c r="I33" s="42"/>
      <c r="J33" s="42"/>
      <c r="K33" s="42"/>
      <c r="L33" s="42"/>
      <c r="M33" s="42"/>
    </row>
    <row r="34">
      <c r="A34" s="197">
        <v>45749.0</v>
      </c>
      <c r="B34" s="198" t="s">
        <v>22</v>
      </c>
      <c r="C34" s="199">
        <v>2.4</v>
      </c>
      <c r="D34" s="200" t="s">
        <v>1059</v>
      </c>
      <c r="E34" s="137"/>
      <c r="G34" s="42"/>
      <c r="H34" s="42"/>
      <c r="I34" s="42"/>
      <c r="J34" s="42"/>
      <c r="K34" s="42"/>
      <c r="L34" s="42"/>
      <c r="M34" s="42"/>
    </row>
    <row r="35">
      <c r="A35" s="197">
        <v>45750.0</v>
      </c>
      <c r="B35" s="198" t="s">
        <v>17</v>
      </c>
      <c r="C35" s="199">
        <v>-2.16</v>
      </c>
      <c r="D35" s="200" t="s">
        <v>1157</v>
      </c>
      <c r="E35" s="137"/>
      <c r="G35" s="42"/>
      <c r="H35" s="42"/>
      <c r="I35" s="42"/>
      <c r="J35" s="42"/>
      <c r="K35" s="42"/>
      <c r="L35" s="42"/>
      <c r="M35" s="42"/>
    </row>
    <row r="36">
      <c r="A36" s="197">
        <v>45750.0</v>
      </c>
      <c r="B36" s="198" t="s">
        <v>17</v>
      </c>
      <c r="C36" s="199">
        <v>12.94</v>
      </c>
      <c r="D36" s="198" t="s">
        <v>1158</v>
      </c>
      <c r="E36" s="137"/>
      <c r="G36" s="42"/>
      <c r="H36" s="42"/>
      <c r="I36" s="42"/>
      <c r="J36" s="42"/>
      <c r="K36" s="42"/>
      <c r="L36" s="42"/>
      <c r="M36" s="42"/>
    </row>
    <row r="37">
      <c r="A37" s="197">
        <v>45750.0</v>
      </c>
      <c r="B37" s="198" t="s">
        <v>19</v>
      </c>
      <c r="C37" s="199">
        <v>-7.49</v>
      </c>
      <c r="D37" s="201" t="s">
        <v>931</v>
      </c>
      <c r="E37" s="137"/>
      <c r="G37" s="42"/>
      <c r="H37" s="42"/>
      <c r="I37" s="42"/>
      <c r="J37" s="42"/>
      <c r="K37" s="42"/>
      <c r="L37" s="42"/>
      <c r="M37" s="42"/>
    </row>
    <row r="38">
      <c r="A38" s="197">
        <v>45751.0</v>
      </c>
      <c r="B38" s="198" t="s">
        <v>19</v>
      </c>
      <c r="C38" s="199">
        <v>1.25</v>
      </c>
      <c r="D38" s="200" t="s">
        <v>807</v>
      </c>
      <c r="E38" s="137"/>
      <c r="G38" s="42"/>
      <c r="H38" s="42"/>
      <c r="I38" s="42"/>
      <c r="J38" s="42"/>
      <c r="K38" s="42"/>
      <c r="L38" s="42"/>
      <c r="M38" s="42"/>
    </row>
    <row r="39">
      <c r="A39" s="197">
        <v>45751.0</v>
      </c>
      <c r="B39" s="198" t="s">
        <v>17</v>
      </c>
      <c r="C39" s="199">
        <v>11.01</v>
      </c>
      <c r="D39" s="200" t="s">
        <v>850</v>
      </c>
      <c r="E39" s="137"/>
      <c r="G39" s="42"/>
      <c r="H39" s="42"/>
      <c r="I39" s="42"/>
      <c r="J39" s="42"/>
      <c r="K39" s="42"/>
      <c r="L39" s="42"/>
      <c r="M39" s="42"/>
    </row>
    <row r="40">
      <c r="A40" s="197">
        <v>45751.0</v>
      </c>
      <c r="B40" s="198" t="s">
        <v>19</v>
      </c>
      <c r="C40" s="199">
        <v>38.15</v>
      </c>
      <c r="D40" s="200" t="s">
        <v>1159</v>
      </c>
      <c r="E40" s="137"/>
      <c r="G40" s="42"/>
      <c r="H40" s="42"/>
      <c r="I40" s="42"/>
      <c r="J40" s="42"/>
      <c r="K40" s="42"/>
      <c r="L40" s="42"/>
      <c r="M40" s="42"/>
    </row>
    <row r="41">
      <c r="A41" s="197">
        <v>45753.0</v>
      </c>
      <c r="B41" s="213"/>
      <c r="C41" s="199">
        <v>37.54</v>
      </c>
      <c r="D41" s="200" t="s">
        <v>1160</v>
      </c>
      <c r="E41" s="137"/>
      <c r="G41" s="42"/>
      <c r="H41" s="42"/>
      <c r="I41" s="42"/>
      <c r="J41" s="42"/>
      <c r="K41" s="42"/>
      <c r="L41" s="42"/>
      <c r="M41" s="42"/>
    </row>
    <row r="42">
      <c r="A42" s="197">
        <v>45753.0</v>
      </c>
      <c r="B42" s="198" t="s">
        <v>19</v>
      </c>
      <c r="C42" s="199">
        <v>10.61</v>
      </c>
      <c r="D42" s="200" t="s">
        <v>1161</v>
      </c>
      <c r="E42" s="137"/>
      <c r="G42" s="42"/>
      <c r="H42" s="42"/>
      <c r="I42" s="42"/>
      <c r="J42" s="42"/>
      <c r="K42" s="42"/>
      <c r="L42" s="42"/>
      <c r="M42" s="42"/>
    </row>
    <row r="43">
      <c r="A43" s="197">
        <v>45753.0</v>
      </c>
      <c r="B43" s="198" t="s">
        <v>19</v>
      </c>
      <c r="C43" s="199">
        <v>-2.89</v>
      </c>
      <c r="D43" s="201" t="s">
        <v>931</v>
      </c>
      <c r="E43" s="164"/>
      <c r="G43" s="42"/>
      <c r="H43" s="42"/>
      <c r="I43" s="42"/>
      <c r="J43" s="42"/>
      <c r="K43" s="42"/>
      <c r="L43" s="42"/>
      <c r="M43" s="42"/>
    </row>
    <row r="44">
      <c r="A44" s="197">
        <v>45754.0</v>
      </c>
      <c r="B44" s="198" t="s">
        <v>14</v>
      </c>
      <c r="C44" s="199">
        <v>25.0</v>
      </c>
      <c r="D44" s="200" t="s">
        <v>1160</v>
      </c>
      <c r="E44" s="137"/>
      <c r="G44" s="42"/>
      <c r="H44" s="42"/>
      <c r="I44" s="42"/>
      <c r="J44" s="42"/>
      <c r="K44" s="42"/>
      <c r="L44" s="42"/>
      <c r="M44" s="42"/>
    </row>
    <row r="45">
      <c r="A45" s="197">
        <v>45754.0</v>
      </c>
      <c r="B45" s="198" t="s">
        <v>17</v>
      </c>
      <c r="C45" s="199">
        <v>34.01</v>
      </c>
      <c r="D45" s="200" t="s">
        <v>1150</v>
      </c>
      <c r="E45" s="137"/>
      <c r="G45" s="42"/>
      <c r="H45" s="42"/>
      <c r="I45" s="42"/>
      <c r="J45" s="42"/>
      <c r="K45" s="42"/>
      <c r="L45" s="42"/>
      <c r="M45" s="42"/>
    </row>
    <row r="46">
      <c r="A46" s="197">
        <v>45754.0</v>
      </c>
      <c r="B46" s="198" t="s">
        <v>19</v>
      </c>
      <c r="C46" s="199">
        <v>12.75</v>
      </c>
      <c r="D46" s="200" t="s">
        <v>1162</v>
      </c>
      <c r="E46" s="137"/>
      <c r="G46" s="42"/>
      <c r="H46" s="42"/>
      <c r="I46" s="42"/>
      <c r="J46" s="42"/>
      <c r="K46" s="42"/>
      <c r="L46" s="42"/>
      <c r="M46" s="42"/>
    </row>
    <row r="47">
      <c r="A47" s="197">
        <v>45755.0</v>
      </c>
      <c r="B47" s="198" t="s">
        <v>19</v>
      </c>
      <c r="C47" s="199">
        <v>139.26</v>
      </c>
      <c r="D47" s="200" t="s">
        <v>1163</v>
      </c>
      <c r="E47" s="137"/>
      <c r="G47" s="42"/>
      <c r="H47" s="42"/>
      <c r="I47" s="42"/>
      <c r="J47" s="42"/>
      <c r="K47" s="42"/>
      <c r="L47" s="42"/>
      <c r="M47" s="42"/>
    </row>
    <row r="48">
      <c r="A48" s="197">
        <v>45755.0</v>
      </c>
      <c r="B48" s="198" t="s">
        <v>19</v>
      </c>
      <c r="C48" s="199">
        <v>90.84</v>
      </c>
      <c r="D48" s="200" t="s">
        <v>1164</v>
      </c>
      <c r="E48" s="137"/>
      <c r="G48" s="42"/>
      <c r="H48" s="42"/>
      <c r="I48" s="42"/>
      <c r="J48" s="42"/>
      <c r="K48" s="42"/>
      <c r="L48" s="42"/>
      <c r="M48" s="42"/>
    </row>
    <row r="49">
      <c r="A49" s="206">
        <v>45756.0</v>
      </c>
      <c r="B49" s="198" t="s">
        <v>17</v>
      </c>
      <c r="C49" s="199">
        <v>3.0</v>
      </c>
      <c r="D49" s="200" t="s">
        <v>1165</v>
      </c>
      <c r="E49" s="107"/>
      <c r="G49" s="42"/>
      <c r="H49" s="42"/>
      <c r="I49" s="42"/>
      <c r="J49" s="42"/>
      <c r="K49" s="42"/>
      <c r="L49" s="42"/>
      <c r="M49" s="42"/>
    </row>
    <row r="50">
      <c r="A50" s="197">
        <v>45756.0</v>
      </c>
      <c r="B50" s="213"/>
      <c r="C50" s="199">
        <v>1.99</v>
      </c>
      <c r="D50" s="200" t="s">
        <v>1166</v>
      </c>
      <c r="E50" s="107"/>
      <c r="G50" s="42"/>
      <c r="H50" s="42"/>
      <c r="I50" s="42"/>
      <c r="J50" s="42"/>
      <c r="K50" s="42"/>
      <c r="L50" s="42"/>
      <c r="M50" s="42"/>
    </row>
    <row r="51">
      <c r="A51" s="197">
        <v>45756.0</v>
      </c>
      <c r="B51" s="198" t="s">
        <v>17</v>
      </c>
      <c r="C51" s="199">
        <v>6.75</v>
      </c>
      <c r="D51" s="200" t="s">
        <v>1167</v>
      </c>
      <c r="E51" s="107"/>
      <c r="G51" s="42"/>
      <c r="H51" s="42"/>
      <c r="I51" s="42"/>
      <c r="J51" s="42"/>
      <c r="K51" s="42"/>
      <c r="L51" s="42"/>
      <c r="M51" s="42"/>
    </row>
    <row r="52">
      <c r="A52" s="197">
        <v>45756.0</v>
      </c>
      <c r="B52" s="198" t="s">
        <v>14</v>
      </c>
      <c r="C52" s="199">
        <v>4195.0</v>
      </c>
      <c r="D52" s="198" t="s">
        <v>1168</v>
      </c>
      <c r="E52" s="107"/>
      <c r="G52" s="42"/>
      <c r="H52" s="42"/>
      <c r="I52" s="42"/>
      <c r="J52" s="42"/>
      <c r="K52" s="42"/>
      <c r="L52" s="42"/>
      <c r="M52" s="42"/>
    </row>
    <row r="53">
      <c r="A53" s="207">
        <v>45756.0</v>
      </c>
      <c r="B53" s="198" t="s">
        <v>14</v>
      </c>
      <c r="C53" s="208">
        <v>73.41</v>
      </c>
      <c r="D53" s="198" t="s">
        <v>1169</v>
      </c>
      <c r="E53" s="107"/>
      <c r="G53" s="42"/>
      <c r="H53" s="42"/>
      <c r="I53" s="42"/>
      <c r="J53" s="42"/>
      <c r="K53" s="42"/>
      <c r="L53" s="42"/>
      <c r="M53" s="42"/>
    </row>
    <row r="54">
      <c r="A54" s="207">
        <v>45757.0</v>
      </c>
      <c r="B54" s="198" t="s">
        <v>19</v>
      </c>
      <c r="C54" s="208">
        <v>11.2</v>
      </c>
      <c r="D54" s="198" t="s">
        <v>1170</v>
      </c>
      <c r="E54" s="107"/>
      <c r="G54" s="42"/>
      <c r="H54" s="42"/>
      <c r="I54" s="42"/>
      <c r="J54" s="42"/>
      <c r="K54" s="42"/>
      <c r="L54" s="42"/>
      <c r="M54" s="42"/>
    </row>
    <row r="55">
      <c r="A55" s="197">
        <v>45757.0</v>
      </c>
      <c r="B55" s="198" t="s">
        <v>17</v>
      </c>
      <c r="C55" s="199">
        <v>6.75</v>
      </c>
      <c r="D55" s="200" t="s">
        <v>1167</v>
      </c>
      <c r="E55" s="107"/>
      <c r="G55" s="42"/>
      <c r="H55" s="42"/>
      <c r="I55" s="42"/>
      <c r="J55" s="42"/>
      <c r="K55" s="42"/>
      <c r="L55" s="42"/>
      <c r="M55" s="42"/>
    </row>
    <row r="56">
      <c r="A56" s="207">
        <v>45757.0</v>
      </c>
      <c r="B56" s="198" t="s">
        <v>25</v>
      </c>
      <c r="C56" s="208">
        <v>30.0</v>
      </c>
      <c r="D56" s="198" t="s">
        <v>1171</v>
      </c>
      <c r="E56" s="107"/>
      <c r="G56" s="42"/>
      <c r="H56" s="42"/>
      <c r="I56" s="42"/>
      <c r="J56" s="42"/>
      <c r="K56" s="42"/>
      <c r="L56" s="42"/>
      <c r="M56" s="42"/>
    </row>
    <row r="57">
      <c r="A57" s="197">
        <v>45757.0</v>
      </c>
      <c r="B57" s="198" t="s">
        <v>25</v>
      </c>
      <c r="C57" s="199">
        <v>125.0</v>
      </c>
      <c r="D57" s="200" t="s">
        <v>1172</v>
      </c>
      <c r="E57" s="107"/>
      <c r="G57" s="42"/>
      <c r="H57" s="42"/>
      <c r="I57" s="42"/>
      <c r="J57" s="42"/>
      <c r="K57" s="42"/>
      <c r="L57" s="42"/>
      <c r="M57" s="42"/>
    </row>
    <row r="58">
      <c r="A58" s="197">
        <v>45758.0</v>
      </c>
      <c r="B58" s="198" t="s">
        <v>22</v>
      </c>
      <c r="C58" s="199">
        <v>2.25</v>
      </c>
      <c r="D58" s="198" t="s">
        <v>1173</v>
      </c>
      <c r="E58" s="107"/>
      <c r="G58" s="42"/>
      <c r="H58" s="42"/>
      <c r="I58" s="42"/>
      <c r="J58" s="42"/>
      <c r="K58" s="42"/>
      <c r="L58" s="42"/>
      <c r="M58" s="42"/>
    </row>
    <row r="59">
      <c r="A59" s="197">
        <v>45758.0</v>
      </c>
      <c r="B59" s="198" t="s">
        <v>25</v>
      </c>
      <c r="C59" s="199">
        <f>25</f>
        <v>25</v>
      </c>
      <c r="D59" s="200" t="s">
        <v>1174</v>
      </c>
      <c r="E59" s="107"/>
      <c r="G59" s="42"/>
      <c r="H59" s="42"/>
      <c r="I59" s="42"/>
      <c r="J59" s="42"/>
      <c r="K59" s="42"/>
      <c r="L59" s="42"/>
      <c r="M59" s="42"/>
    </row>
    <row r="60">
      <c r="A60" s="197">
        <v>45760.0</v>
      </c>
      <c r="B60" s="198" t="s">
        <v>17</v>
      </c>
      <c r="C60" s="199">
        <v>0.0</v>
      </c>
      <c r="D60" s="200" t="s">
        <v>1175</v>
      </c>
      <c r="E60" s="107"/>
      <c r="G60" s="42"/>
      <c r="H60" s="42"/>
      <c r="I60" s="42"/>
      <c r="J60" s="42"/>
      <c r="K60" s="42"/>
      <c r="L60" s="42"/>
      <c r="M60" s="42"/>
    </row>
    <row r="61">
      <c r="A61" s="207">
        <v>45760.0</v>
      </c>
      <c r="B61" s="198" t="s">
        <v>17</v>
      </c>
      <c r="C61" s="208">
        <f>173.79/8</f>
        <v>21.72375</v>
      </c>
      <c r="D61" s="198" t="s">
        <v>1176</v>
      </c>
      <c r="E61" s="107"/>
      <c r="G61" s="42"/>
      <c r="H61" s="42"/>
      <c r="I61" s="42"/>
      <c r="J61" s="42"/>
      <c r="K61" s="42"/>
      <c r="L61" s="42"/>
      <c r="M61" s="42"/>
    </row>
    <row r="62">
      <c r="A62" s="197">
        <v>45761.0</v>
      </c>
      <c r="B62" s="198" t="s">
        <v>25</v>
      </c>
      <c r="C62" s="199">
        <f>1012.02/3</f>
        <v>337.34</v>
      </c>
      <c r="D62" s="200" t="s">
        <v>1177</v>
      </c>
      <c r="E62" s="107"/>
      <c r="G62" s="42"/>
      <c r="H62" s="42"/>
      <c r="I62" s="42"/>
      <c r="J62" s="42"/>
      <c r="K62" s="42"/>
      <c r="L62" s="42"/>
      <c r="M62" s="42"/>
    </row>
    <row r="63">
      <c r="A63" s="207">
        <v>45761.0</v>
      </c>
      <c r="B63" s="198" t="s">
        <v>22</v>
      </c>
      <c r="C63" s="208">
        <v>12.75</v>
      </c>
      <c r="D63" s="198" t="s">
        <v>1178</v>
      </c>
      <c r="E63" s="107"/>
      <c r="G63" s="42"/>
      <c r="H63" s="42"/>
      <c r="I63" s="42"/>
      <c r="J63" s="42"/>
      <c r="K63" s="42"/>
      <c r="L63" s="42"/>
      <c r="M63" s="42"/>
    </row>
    <row r="64">
      <c r="A64" s="197">
        <v>45761.0</v>
      </c>
      <c r="B64" s="198" t="s">
        <v>22</v>
      </c>
      <c r="C64" s="199">
        <v>42.96</v>
      </c>
      <c r="D64" s="200" t="s">
        <v>1179</v>
      </c>
      <c r="E64" s="107"/>
      <c r="G64" s="42"/>
      <c r="H64" s="42"/>
      <c r="I64" s="42"/>
      <c r="J64" s="42"/>
      <c r="K64" s="42"/>
      <c r="L64" s="42"/>
      <c r="M64" s="42"/>
    </row>
    <row r="65">
      <c r="A65" s="197">
        <v>45761.0</v>
      </c>
      <c r="B65" s="198" t="s">
        <v>14</v>
      </c>
      <c r="C65" s="199">
        <v>3.91</v>
      </c>
      <c r="D65" s="200" t="s">
        <v>1180</v>
      </c>
      <c r="E65" s="107"/>
      <c r="G65" s="42"/>
      <c r="H65" s="42"/>
      <c r="I65" s="42"/>
      <c r="J65" s="42"/>
      <c r="K65" s="42"/>
      <c r="L65" s="42"/>
      <c r="M65" s="42"/>
    </row>
    <row r="66">
      <c r="A66" s="197">
        <v>45761.0</v>
      </c>
      <c r="B66" s="198" t="s">
        <v>17</v>
      </c>
      <c r="C66" s="199">
        <v>18.91</v>
      </c>
      <c r="D66" s="200" t="s">
        <v>1181</v>
      </c>
      <c r="E66" s="107"/>
      <c r="G66" s="42"/>
      <c r="H66" s="42"/>
      <c r="I66" s="42"/>
      <c r="J66" s="42"/>
      <c r="K66" s="42"/>
      <c r="L66" s="42"/>
      <c r="M66" s="42"/>
    </row>
    <row r="67">
      <c r="A67" s="197">
        <v>45761.0</v>
      </c>
      <c r="B67" s="198" t="s">
        <v>14</v>
      </c>
      <c r="C67" s="199">
        <v>3.91</v>
      </c>
      <c r="D67" s="200" t="s">
        <v>1180</v>
      </c>
      <c r="E67" s="107"/>
      <c r="G67" s="42"/>
      <c r="H67" s="42"/>
      <c r="I67" s="42"/>
      <c r="J67" s="42"/>
      <c r="K67" s="42"/>
      <c r="L67" s="42"/>
      <c r="M67" s="42"/>
    </row>
    <row r="68">
      <c r="A68" s="197">
        <v>45762.0</v>
      </c>
      <c r="B68" s="198" t="s">
        <v>19</v>
      </c>
      <c r="C68" s="199">
        <v>8.53</v>
      </c>
      <c r="D68" s="198" t="s">
        <v>1182</v>
      </c>
      <c r="E68" s="107"/>
      <c r="G68" s="42"/>
      <c r="H68" s="42"/>
      <c r="I68" s="42"/>
      <c r="J68" s="42"/>
      <c r="K68" s="42"/>
      <c r="L68" s="42"/>
      <c r="M68" s="42"/>
    </row>
    <row r="69">
      <c r="A69" s="197">
        <v>45763.0</v>
      </c>
      <c r="B69" s="198" t="s">
        <v>15</v>
      </c>
      <c r="C69" s="199">
        <v>80.8</v>
      </c>
      <c r="D69" s="209" t="s">
        <v>1183</v>
      </c>
      <c r="E69" s="107"/>
      <c r="G69" s="42"/>
      <c r="H69" s="42"/>
      <c r="I69" s="42"/>
      <c r="J69" s="42"/>
      <c r="K69" s="42"/>
      <c r="L69" s="42"/>
      <c r="M69" s="42"/>
    </row>
    <row r="70">
      <c r="A70" s="197">
        <v>45763.0</v>
      </c>
      <c r="B70" s="198" t="s">
        <v>15</v>
      </c>
      <c r="C70" s="199">
        <v>146.89</v>
      </c>
      <c r="D70" s="200" t="s">
        <v>1184</v>
      </c>
      <c r="E70" s="107"/>
      <c r="G70" s="42"/>
      <c r="H70" s="42"/>
      <c r="I70" s="42"/>
      <c r="J70" s="42"/>
      <c r="K70" s="42"/>
      <c r="L70" s="42"/>
      <c r="M70" s="42"/>
    </row>
    <row r="71">
      <c r="A71" s="197">
        <v>45763.0</v>
      </c>
      <c r="B71" s="198" t="s">
        <v>24</v>
      </c>
      <c r="C71" s="199">
        <v>128.16</v>
      </c>
      <c r="D71" s="200" t="s">
        <v>1074</v>
      </c>
      <c r="E71" s="107"/>
      <c r="G71" s="42"/>
      <c r="H71" s="42"/>
      <c r="I71" s="42"/>
      <c r="J71" s="42"/>
      <c r="K71" s="42"/>
      <c r="L71" s="42"/>
      <c r="M71" s="42"/>
    </row>
    <row r="72">
      <c r="A72" s="197">
        <v>45763.0</v>
      </c>
      <c r="B72" s="198" t="s">
        <v>17</v>
      </c>
      <c r="C72" s="199">
        <v>9.13</v>
      </c>
      <c r="D72" s="200" t="s">
        <v>1185</v>
      </c>
      <c r="E72" s="107"/>
      <c r="G72" s="42"/>
      <c r="H72" s="42"/>
      <c r="I72" s="42"/>
      <c r="J72" s="42"/>
      <c r="K72" s="42"/>
      <c r="L72" s="42"/>
      <c r="M72" s="42"/>
    </row>
    <row r="73">
      <c r="A73" s="197">
        <v>45764.0</v>
      </c>
      <c r="B73" s="198" t="s">
        <v>19</v>
      </c>
      <c r="C73" s="199">
        <v>1.25</v>
      </c>
      <c r="D73" s="200" t="s">
        <v>807</v>
      </c>
      <c r="E73" s="107"/>
      <c r="G73" s="42"/>
      <c r="H73" s="42"/>
      <c r="I73" s="42"/>
      <c r="J73" s="42"/>
      <c r="K73" s="42"/>
      <c r="L73" s="42"/>
      <c r="M73" s="42"/>
    </row>
    <row r="74">
      <c r="A74" s="197">
        <v>45764.0</v>
      </c>
      <c r="B74" s="198" t="s">
        <v>19</v>
      </c>
      <c r="C74" s="199">
        <v>1.25</v>
      </c>
      <c r="D74" s="200" t="s">
        <v>807</v>
      </c>
      <c r="E74" s="107"/>
      <c r="G74" s="42"/>
      <c r="H74" s="42"/>
      <c r="I74" s="42"/>
      <c r="J74" s="42"/>
      <c r="K74" s="42"/>
      <c r="L74" s="42"/>
      <c r="M74" s="42"/>
    </row>
    <row r="75" ht="18.75" customHeight="1">
      <c r="A75" s="197">
        <v>45764.0</v>
      </c>
      <c r="B75" s="198" t="s">
        <v>19</v>
      </c>
      <c r="C75" s="199">
        <v>1.25</v>
      </c>
      <c r="D75" s="200" t="s">
        <v>807</v>
      </c>
      <c r="E75" s="107"/>
      <c r="G75" s="42"/>
      <c r="H75" s="42"/>
      <c r="I75" s="42"/>
      <c r="J75" s="42"/>
      <c r="K75" s="42"/>
      <c r="L75" s="42"/>
      <c r="M75" s="42"/>
    </row>
    <row r="76">
      <c r="A76" s="197">
        <v>45764.0</v>
      </c>
      <c r="B76" s="198" t="s">
        <v>19</v>
      </c>
      <c r="C76" s="199">
        <v>1.25</v>
      </c>
      <c r="D76" s="200" t="s">
        <v>807</v>
      </c>
      <c r="E76" s="107"/>
      <c r="G76" s="42"/>
      <c r="H76" s="42"/>
      <c r="I76" s="42"/>
      <c r="J76" s="42"/>
      <c r="K76" s="42"/>
      <c r="L76" s="42"/>
      <c r="M76" s="42"/>
    </row>
    <row r="77">
      <c r="A77" s="197">
        <v>45764.0</v>
      </c>
      <c r="B77" s="198" t="s">
        <v>19</v>
      </c>
      <c r="C77" s="199">
        <v>1.25</v>
      </c>
      <c r="D77" s="200" t="s">
        <v>807</v>
      </c>
      <c r="E77" s="107"/>
      <c r="G77" s="42"/>
      <c r="H77" s="42"/>
      <c r="I77" s="42"/>
      <c r="J77" s="42"/>
      <c r="K77" s="42"/>
      <c r="L77" s="42"/>
      <c r="M77" s="42"/>
    </row>
    <row r="78">
      <c r="A78" s="197">
        <v>45764.0</v>
      </c>
      <c r="B78" s="198" t="s">
        <v>17</v>
      </c>
      <c r="C78" s="199">
        <v>1.82</v>
      </c>
      <c r="D78" s="200" t="s">
        <v>1167</v>
      </c>
      <c r="E78" s="107"/>
      <c r="G78" s="42"/>
      <c r="H78" s="42"/>
      <c r="I78" s="42"/>
      <c r="J78" s="42"/>
      <c r="K78" s="42"/>
      <c r="L78" s="42"/>
      <c r="M78" s="42"/>
    </row>
    <row r="79">
      <c r="A79" s="197">
        <v>45764.0</v>
      </c>
      <c r="B79" s="198" t="s">
        <v>17</v>
      </c>
      <c r="C79" s="199">
        <v>9.29</v>
      </c>
      <c r="D79" s="200" t="s">
        <v>1167</v>
      </c>
      <c r="E79" s="107"/>
      <c r="G79" s="42"/>
      <c r="H79" s="42"/>
      <c r="I79" s="42"/>
      <c r="J79" s="42"/>
      <c r="K79" s="42"/>
      <c r="L79" s="42"/>
      <c r="M79" s="42"/>
    </row>
    <row r="80">
      <c r="A80" s="197">
        <v>45765.0</v>
      </c>
      <c r="B80" s="198" t="s">
        <v>19</v>
      </c>
      <c r="C80" s="199">
        <v>61.97</v>
      </c>
      <c r="D80" s="200" t="s">
        <v>1186</v>
      </c>
      <c r="E80" s="107"/>
      <c r="G80" s="42"/>
      <c r="H80" s="42"/>
      <c r="I80" s="42"/>
      <c r="J80" s="42"/>
      <c r="K80" s="42"/>
      <c r="L80" s="42"/>
      <c r="M80" s="42"/>
    </row>
    <row r="81">
      <c r="A81" s="197">
        <v>45765.0</v>
      </c>
      <c r="B81" s="198" t="s">
        <v>15</v>
      </c>
      <c r="C81" s="199">
        <v>200.0</v>
      </c>
      <c r="D81" s="200" t="s">
        <v>825</v>
      </c>
      <c r="E81" s="107"/>
      <c r="G81" s="42"/>
      <c r="H81" s="42"/>
      <c r="I81" s="42"/>
      <c r="J81" s="42"/>
      <c r="K81" s="42"/>
      <c r="L81" s="42"/>
      <c r="M81" s="42"/>
    </row>
    <row r="82">
      <c r="A82" s="197">
        <v>45765.0</v>
      </c>
      <c r="B82" s="198" t="s">
        <v>17</v>
      </c>
      <c r="C82" s="199">
        <v>7.4</v>
      </c>
      <c r="D82" s="200" t="s">
        <v>1167</v>
      </c>
      <c r="E82" s="107"/>
      <c r="G82" s="42"/>
      <c r="H82" s="42"/>
      <c r="I82" s="42"/>
      <c r="J82" s="42"/>
      <c r="K82" s="42"/>
      <c r="L82" s="42"/>
      <c r="M82" s="42"/>
    </row>
    <row r="83">
      <c r="A83" s="197">
        <v>45767.0</v>
      </c>
      <c r="B83" s="198" t="s">
        <v>22</v>
      </c>
      <c r="C83" s="199">
        <v>4.55</v>
      </c>
      <c r="D83" s="200" t="s">
        <v>1187</v>
      </c>
      <c r="E83" s="107"/>
      <c r="G83" s="42"/>
      <c r="H83" s="42"/>
      <c r="I83" s="42"/>
      <c r="J83" s="42"/>
      <c r="K83" s="42"/>
      <c r="L83" s="42"/>
      <c r="M83" s="42"/>
    </row>
    <row r="84">
      <c r="A84" s="197">
        <v>45767.0</v>
      </c>
      <c r="B84" s="198" t="s">
        <v>19</v>
      </c>
      <c r="C84" s="199">
        <v>-5.59</v>
      </c>
      <c r="D84" s="201" t="s">
        <v>931</v>
      </c>
      <c r="E84" s="107"/>
      <c r="G84" s="42"/>
      <c r="H84" s="42"/>
      <c r="I84" s="42"/>
      <c r="J84" s="42"/>
      <c r="K84" s="42"/>
      <c r="L84" s="42"/>
      <c r="M84" s="42"/>
    </row>
    <row r="85">
      <c r="A85" s="197">
        <v>45767.0</v>
      </c>
      <c r="B85" s="198" t="s">
        <v>15</v>
      </c>
      <c r="C85" s="199">
        <f>17</f>
        <v>17</v>
      </c>
      <c r="D85" s="200" t="s">
        <v>1188</v>
      </c>
      <c r="E85" s="107"/>
      <c r="G85" s="42"/>
      <c r="H85" s="42"/>
      <c r="I85" s="42"/>
      <c r="J85" s="42"/>
      <c r="K85" s="42"/>
      <c r="L85" s="42"/>
      <c r="M85" s="42"/>
    </row>
    <row r="86">
      <c r="A86" s="197">
        <v>45767.0</v>
      </c>
      <c r="B86" s="198" t="s">
        <v>19</v>
      </c>
      <c r="C86" s="199">
        <v>31.33</v>
      </c>
      <c r="D86" s="200" t="s">
        <v>1189</v>
      </c>
      <c r="E86" s="107"/>
      <c r="G86" s="42"/>
      <c r="H86" s="42"/>
      <c r="I86" s="42"/>
      <c r="J86" s="42"/>
      <c r="K86" s="42"/>
      <c r="L86" s="42"/>
      <c r="M86" s="42"/>
    </row>
    <row r="87">
      <c r="A87" s="197">
        <v>45767.0</v>
      </c>
      <c r="B87" s="198" t="s">
        <v>17</v>
      </c>
      <c r="C87" s="199">
        <f>24</f>
        <v>24</v>
      </c>
      <c r="D87" s="200" t="s">
        <v>832</v>
      </c>
      <c r="E87" s="107"/>
      <c r="G87" s="42"/>
      <c r="H87" s="42"/>
      <c r="I87" s="42"/>
      <c r="J87" s="42"/>
      <c r="K87" s="42"/>
      <c r="L87" s="42"/>
      <c r="M87" s="42"/>
    </row>
    <row r="88">
      <c r="A88" s="197">
        <v>45768.0</v>
      </c>
      <c r="B88" s="198" t="s">
        <v>22</v>
      </c>
      <c r="C88" s="199">
        <v>5.34</v>
      </c>
      <c r="D88" s="200" t="s">
        <v>1190</v>
      </c>
      <c r="E88" s="107"/>
      <c r="G88" s="42"/>
      <c r="H88" s="42"/>
      <c r="I88" s="42"/>
      <c r="J88" s="42"/>
      <c r="K88" s="42"/>
      <c r="L88" s="42"/>
      <c r="M88" s="42"/>
    </row>
    <row r="89">
      <c r="A89" s="197">
        <v>45768.0</v>
      </c>
      <c r="B89" s="198" t="s">
        <v>22</v>
      </c>
      <c r="C89" s="199">
        <v>33.07</v>
      </c>
      <c r="D89" s="200" t="s">
        <v>1190</v>
      </c>
      <c r="E89" s="107"/>
      <c r="G89" s="42"/>
      <c r="H89" s="42"/>
      <c r="I89" s="42"/>
      <c r="J89" s="42"/>
      <c r="K89" s="42"/>
      <c r="L89" s="42"/>
      <c r="M89" s="42"/>
    </row>
    <row r="90">
      <c r="A90" s="197">
        <v>45769.0</v>
      </c>
      <c r="B90" s="198" t="s">
        <v>79</v>
      </c>
      <c r="C90" s="199">
        <f>231.03/3</f>
        <v>77.01</v>
      </c>
      <c r="D90" s="200" t="s">
        <v>1097</v>
      </c>
      <c r="E90" s="107"/>
      <c r="G90" s="42"/>
      <c r="H90" s="42"/>
      <c r="I90" s="42"/>
      <c r="J90" s="42"/>
      <c r="K90" s="42"/>
      <c r="L90" s="42"/>
      <c r="M90" s="42"/>
    </row>
    <row r="91">
      <c r="A91" s="197">
        <v>45769.0</v>
      </c>
      <c r="B91" s="198" t="s">
        <v>22</v>
      </c>
      <c r="C91" s="199">
        <v>4.99</v>
      </c>
      <c r="D91" s="200" t="s">
        <v>1191</v>
      </c>
      <c r="E91" s="107"/>
      <c r="G91" s="42"/>
      <c r="H91" s="42"/>
      <c r="I91" s="42"/>
      <c r="J91" s="42"/>
      <c r="K91" s="42"/>
      <c r="L91" s="42"/>
      <c r="M91" s="42"/>
    </row>
    <row r="92">
      <c r="A92" s="197">
        <v>45769.0</v>
      </c>
      <c r="B92" s="198" t="s">
        <v>17</v>
      </c>
      <c r="C92" s="199">
        <v>17.93</v>
      </c>
      <c r="D92" s="200" t="s">
        <v>1192</v>
      </c>
      <c r="E92" s="107"/>
      <c r="G92" s="42"/>
      <c r="H92" s="42"/>
      <c r="I92" s="42"/>
      <c r="J92" s="42"/>
      <c r="K92" s="42"/>
      <c r="L92" s="42"/>
      <c r="M92" s="42"/>
    </row>
    <row r="93">
      <c r="A93" s="197">
        <v>45769.0</v>
      </c>
      <c r="B93" s="198" t="s">
        <v>17</v>
      </c>
      <c r="C93" s="199">
        <v>177.5</v>
      </c>
      <c r="D93" s="200" t="s">
        <v>1193</v>
      </c>
      <c r="E93" s="107"/>
      <c r="G93" s="42"/>
      <c r="H93" s="42"/>
      <c r="I93" s="42"/>
      <c r="J93" s="42"/>
      <c r="K93" s="42"/>
      <c r="L93" s="42"/>
      <c r="M93" s="42"/>
    </row>
    <row r="94">
      <c r="A94" s="197">
        <v>45769.0</v>
      </c>
      <c r="B94" s="198" t="s">
        <v>17</v>
      </c>
      <c r="C94" s="199">
        <v>8.55</v>
      </c>
      <c r="D94" s="200" t="s">
        <v>1194</v>
      </c>
      <c r="E94" s="107"/>
      <c r="G94" s="42"/>
      <c r="H94" s="42"/>
      <c r="I94" s="42"/>
      <c r="J94" s="42"/>
      <c r="K94" s="42"/>
      <c r="L94" s="42"/>
      <c r="M94" s="42"/>
    </row>
    <row r="95">
      <c r="A95" s="197">
        <v>45769.0</v>
      </c>
      <c r="B95" s="198" t="s">
        <v>17</v>
      </c>
      <c r="C95" s="199">
        <v>4.55</v>
      </c>
      <c r="D95" s="200" t="s">
        <v>1195</v>
      </c>
      <c r="E95" s="107"/>
      <c r="G95" s="42"/>
      <c r="H95" s="42"/>
      <c r="I95" s="42"/>
      <c r="J95" s="42"/>
      <c r="K95" s="42"/>
      <c r="L95" s="42"/>
      <c r="M95" s="42"/>
    </row>
    <row r="96">
      <c r="A96" s="210">
        <v>45770.0</v>
      </c>
      <c r="B96" s="198" t="s">
        <v>79</v>
      </c>
      <c r="C96" s="208">
        <v>258.75</v>
      </c>
      <c r="D96" s="198" t="s">
        <v>1196</v>
      </c>
      <c r="E96" s="132"/>
      <c r="G96" s="42"/>
      <c r="H96" s="42"/>
      <c r="I96" s="42"/>
      <c r="J96" s="42"/>
      <c r="K96" s="42"/>
      <c r="L96" s="42"/>
      <c r="M96" s="42"/>
    </row>
    <row r="97">
      <c r="A97" s="210">
        <v>45770.0</v>
      </c>
      <c r="B97" s="198" t="s">
        <v>79</v>
      </c>
      <c r="C97" s="208">
        <v>-23.19</v>
      </c>
      <c r="D97" s="198" t="s">
        <v>1196</v>
      </c>
      <c r="E97" s="107"/>
      <c r="G97" s="42"/>
      <c r="H97" s="42"/>
      <c r="I97" s="42"/>
      <c r="J97" s="42"/>
      <c r="K97" s="42"/>
      <c r="L97" s="42"/>
      <c r="M97" s="42"/>
    </row>
    <row r="98">
      <c r="A98" s="210">
        <v>45771.0</v>
      </c>
      <c r="B98" s="198" t="s">
        <v>17</v>
      </c>
      <c r="C98" s="208">
        <v>8.69</v>
      </c>
      <c r="D98" s="198" t="s">
        <v>1167</v>
      </c>
      <c r="E98" s="107"/>
      <c r="G98" s="42"/>
      <c r="H98" s="42"/>
      <c r="I98" s="42"/>
      <c r="J98" s="42"/>
      <c r="K98" s="42"/>
      <c r="L98" s="42"/>
      <c r="M98" s="42"/>
    </row>
    <row r="99">
      <c r="A99" s="210">
        <v>45772.0</v>
      </c>
      <c r="B99" s="198" t="s">
        <v>79</v>
      </c>
      <c r="C99" s="208">
        <v>-32.41</v>
      </c>
      <c r="D99" s="198" t="s">
        <v>1196</v>
      </c>
      <c r="E99" s="132"/>
      <c r="G99" s="42"/>
      <c r="H99" s="42"/>
      <c r="I99" s="42"/>
      <c r="J99" s="42"/>
      <c r="K99" s="42"/>
      <c r="L99" s="42"/>
      <c r="M99" s="42"/>
    </row>
    <row r="100">
      <c r="A100" s="210">
        <v>45772.0</v>
      </c>
      <c r="B100" s="198" t="s">
        <v>17</v>
      </c>
      <c r="C100" s="208">
        <v>21.39</v>
      </c>
      <c r="D100" s="198" t="s">
        <v>1197</v>
      </c>
      <c r="E100" s="107">
        <v>-1.1</v>
      </c>
      <c r="G100" s="42"/>
      <c r="H100" s="42"/>
      <c r="I100" s="42"/>
      <c r="J100" s="42"/>
      <c r="K100" s="42"/>
      <c r="L100" s="42"/>
      <c r="M100" s="42"/>
    </row>
    <row r="101">
      <c r="A101" s="210">
        <v>45772.0</v>
      </c>
      <c r="B101" s="198" t="s">
        <v>17</v>
      </c>
      <c r="C101" s="208">
        <v>8.69</v>
      </c>
      <c r="D101" s="198" t="s">
        <v>1167</v>
      </c>
      <c r="E101" s="107">
        <v>-30.0</v>
      </c>
      <c r="G101" s="42"/>
      <c r="H101" s="42"/>
      <c r="I101" s="42"/>
      <c r="J101" s="42"/>
      <c r="K101" s="42"/>
      <c r="L101" s="42"/>
      <c r="M101" s="42"/>
    </row>
    <row r="102">
      <c r="A102" s="197">
        <v>45772.0</v>
      </c>
      <c r="B102" s="198" t="s">
        <v>17</v>
      </c>
      <c r="C102" s="199">
        <v>8.5</v>
      </c>
      <c r="D102" s="200" t="s">
        <v>1198</v>
      </c>
      <c r="E102" s="107">
        <v>-10.69</v>
      </c>
      <c r="G102" s="42"/>
      <c r="H102" s="42"/>
      <c r="I102" s="42"/>
      <c r="J102" s="42"/>
      <c r="K102" s="42"/>
      <c r="L102" s="42"/>
      <c r="M102" s="42"/>
    </row>
    <row r="103">
      <c r="A103" s="197">
        <v>45774.0</v>
      </c>
      <c r="B103" s="198" t="s">
        <v>25</v>
      </c>
      <c r="C103" s="199">
        <v>18.0</v>
      </c>
      <c r="D103" s="200" t="s">
        <v>1199</v>
      </c>
      <c r="E103" s="107">
        <v>-81.99</v>
      </c>
      <c r="G103" s="99"/>
      <c r="H103" s="42"/>
      <c r="I103" s="42"/>
      <c r="J103" s="42"/>
      <c r="K103" s="42"/>
      <c r="L103" s="42"/>
      <c r="M103" s="42"/>
    </row>
    <row r="104">
      <c r="A104" s="197">
        <v>45774.0</v>
      </c>
      <c r="B104" s="198" t="s">
        <v>17</v>
      </c>
      <c r="C104" s="199">
        <v>7.43</v>
      </c>
      <c r="D104" s="200" t="s">
        <v>1200</v>
      </c>
      <c r="E104" s="107">
        <v>-91.44</v>
      </c>
      <c r="G104" s="42"/>
      <c r="H104" s="42"/>
      <c r="I104" s="42"/>
      <c r="J104" s="42"/>
      <c r="K104" s="42"/>
      <c r="L104" s="42"/>
      <c r="M104" s="42"/>
    </row>
    <row r="105">
      <c r="A105" s="197">
        <v>45774.0</v>
      </c>
      <c r="B105" s="198" t="s">
        <v>17</v>
      </c>
      <c r="C105" s="199">
        <f>50</f>
        <v>50</v>
      </c>
      <c r="D105" s="200" t="s">
        <v>1201</v>
      </c>
      <c r="E105" s="107">
        <v>-79.99</v>
      </c>
      <c r="G105" s="42"/>
      <c r="H105" s="42"/>
      <c r="I105" s="42"/>
      <c r="J105" s="42"/>
      <c r="K105" s="42"/>
      <c r="L105" s="42"/>
      <c r="M105" s="42"/>
    </row>
    <row r="106">
      <c r="A106" s="210">
        <v>45774.0</v>
      </c>
      <c r="B106" s="198" t="s">
        <v>17</v>
      </c>
      <c r="C106" s="208">
        <v>45.96</v>
      </c>
      <c r="D106" s="198" t="s">
        <v>1202</v>
      </c>
      <c r="E106" s="107">
        <v>-120.75</v>
      </c>
      <c r="G106" s="42"/>
      <c r="H106" s="42"/>
      <c r="I106" s="42"/>
      <c r="J106" s="42"/>
      <c r="K106" s="42"/>
      <c r="L106" s="42"/>
      <c r="M106" s="42"/>
    </row>
    <row r="107">
      <c r="A107" s="210">
        <v>45774.0</v>
      </c>
      <c r="B107" s="198" t="s">
        <v>17</v>
      </c>
      <c r="C107" s="208">
        <v>120.67</v>
      </c>
      <c r="D107" s="198" t="s">
        <v>1067</v>
      </c>
      <c r="E107" s="107">
        <v>-1.75</v>
      </c>
      <c r="G107" s="42"/>
      <c r="H107" s="42"/>
      <c r="I107" s="42"/>
      <c r="J107" s="42"/>
      <c r="K107" s="42"/>
      <c r="L107" s="42"/>
      <c r="M107" s="42"/>
    </row>
    <row r="108">
      <c r="A108" s="210">
        <v>45775.0</v>
      </c>
      <c r="B108" s="198" t="s">
        <v>14</v>
      </c>
      <c r="C108" s="208">
        <v>0.99</v>
      </c>
      <c r="D108" s="214" t="s">
        <v>400</v>
      </c>
      <c r="E108" s="107">
        <v>-1.25</v>
      </c>
      <c r="G108" s="42"/>
      <c r="H108" s="42"/>
      <c r="I108" s="42"/>
      <c r="J108" s="42"/>
      <c r="K108" s="42"/>
      <c r="L108" s="42"/>
      <c r="M108" s="42"/>
    </row>
    <row r="109">
      <c r="A109" s="210">
        <v>45776.0</v>
      </c>
      <c r="B109" s="198" t="s">
        <v>19</v>
      </c>
      <c r="C109" s="208">
        <v>1.25</v>
      </c>
      <c r="D109" s="198" t="s">
        <v>807</v>
      </c>
      <c r="E109" s="107">
        <v>-1.25</v>
      </c>
      <c r="G109" s="42"/>
      <c r="H109" s="42"/>
      <c r="I109" s="42"/>
      <c r="J109" s="42"/>
      <c r="K109" s="42"/>
      <c r="L109" s="42"/>
      <c r="M109" s="42"/>
    </row>
    <row r="110">
      <c r="A110" s="197">
        <v>45776.0</v>
      </c>
      <c r="B110" s="198" t="s">
        <v>19</v>
      </c>
      <c r="C110" s="199">
        <v>1.25</v>
      </c>
      <c r="D110" s="200" t="s">
        <v>807</v>
      </c>
      <c r="E110" s="107">
        <v>-9.6</v>
      </c>
      <c r="G110" s="42"/>
      <c r="H110" s="42"/>
      <c r="I110" s="42"/>
      <c r="J110" s="42"/>
      <c r="K110" s="42"/>
      <c r="L110" s="42"/>
      <c r="M110" s="42"/>
    </row>
    <row r="111">
      <c r="A111" s="197">
        <v>45776.0</v>
      </c>
      <c r="B111" s="198" t="s">
        <v>19</v>
      </c>
      <c r="C111" s="199">
        <v>1.25</v>
      </c>
      <c r="D111" s="200" t="s">
        <v>807</v>
      </c>
      <c r="E111" s="107">
        <v>-1.25</v>
      </c>
      <c r="G111" s="42"/>
      <c r="H111" s="42"/>
      <c r="I111" s="42"/>
      <c r="J111" s="42"/>
      <c r="K111" s="42"/>
      <c r="L111" s="42"/>
      <c r="M111" s="42"/>
    </row>
    <row r="112">
      <c r="A112" s="197">
        <v>45776.0</v>
      </c>
      <c r="B112" s="198" t="s">
        <v>19</v>
      </c>
      <c r="C112" s="199">
        <v>1.25</v>
      </c>
      <c r="D112" s="200" t="s">
        <v>807</v>
      </c>
      <c r="E112" s="107">
        <v>-1.25</v>
      </c>
      <c r="G112" s="42"/>
      <c r="H112" s="42"/>
      <c r="I112" s="42"/>
      <c r="J112" s="42"/>
      <c r="K112" s="42"/>
      <c r="L112" s="42"/>
      <c r="M112" s="42"/>
    </row>
    <row r="113">
      <c r="A113" s="197">
        <v>45776.0</v>
      </c>
      <c r="B113" s="198" t="s">
        <v>19</v>
      </c>
      <c r="C113" s="199">
        <v>1.25</v>
      </c>
      <c r="D113" s="200" t="s">
        <v>807</v>
      </c>
      <c r="E113" s="107">
        <v>-2.9</v>
      </c>
      <c r="G113" s="42"/>
      <c r="H113" s="42"/>
      <c r="I113" s="42"/>
      <c r="J113" s="42"/>
      <c r="K113" s="42"/>
      <c r="L113" s="42"/>
      <c r="M113" s="42"/>
    </row>
    <row r="114">
      <c r="A114" s="197">
        <v>45776.0</v>
      </c>
      <c r="B114" s="198" t="s">
        <v>15</v>
      </c>
      <c r="C114" s="199">
        <v>74.42</v>
      </c>
      <c r="D114" s="200" t="s">
        <v>1203</v>
      </c>
      <c r="E114" s="107">
        <v>-30.0</v>
      </c>
      <c r="G114" s="42"/>
      <c r="H114" s="42"/>
      <c r="I114" s="42"/>
      <c r="J114" s="42"/>
      <c r="K114" s="42"/>
      <c r="L114" s="42"/>
      <c r="M114" s="42"/>
    </row>
    <row r="115">
      <c r="A115" s="197">
        <v>45776.0</v>
      </c>
      <c r="B115" s="198" t="s">
        <v>15</v>
      </c>
      <c r="C115" s="199">
        <v>-17.84</v>
      </c>
      <c r="D115" s="201" t="s">
        <v>931</v>
      </c>
      <c r="E115" s="107">
        <v>-2.9</v>
      </c>
      <c r="G115" s="42"/>
      <c r="H115" s="42"/>
      <c r="I115" s="42"/>
      <c r="J115" s="42"/>
      <c r="K115" s="42"/>
      <c r="L115" s="42"/>
      <c r="M115" s="42"/>
    </row>
    <row r="116">
      <c r="A116" s="197">
        <v>45776.0</v>
      </c>
      <c r="B116" s="198" t="s">
        <v>17</v>
      </c>
      <c r="C116" s="199">
        <v>50.84</v>
      </c>
      <c r="D116" s="200" t="s">
        <v>1204</v>
      </c>
      <c r="E116" s="107">
        <v>-2.75</v>
      </c>
      <c r="G116" s="42"/>
      <c r="H116" s="42"/>
      <c r="I116" s="42"/>
      <c r="J116" s="42"/>
      <c r="K116" s="42"/>
      <c r="L116" s="42"/>
      <c r="M116" s="42"/>
    </row>
    <row r="117">
      <c r="A117" s="197">
        <v>45777.0</v>
      </c>
      <c r="B117" s="198" t="s">
        <v>79</v>
      </c>
      <c r="C117" s="199">
        <f>16.45/3</f>
        <v>5.483333333</v>
      </c>
      <c r="D117" s="200" t="s">
        <v>1205</v>
      </c>
      <c r="E117" s="107">
        <v>-2.9</v>
      </c>
      <c r="G117" s="42"/>
      <c r="H117" s="42"/>
      <c r="I117" s="42"/>
      <c r="J117" s="42"/>
      <c r="K117" s="42"/>
      <c r="L117" s="42"/>
      <c r="M117" s="42"/>
    </row>
    <row r="118">
      <c r="A118" s="197">
        <v>45777.0</v>
      </c>
      <c r="B118" s="198" t="s">
        <v>19</v>
      </c>
      <c r="C118" s="199">
        <v>5.0</v>
      </c>
      <c r="D118" s="200" t="s">
        <v>1206</v>
      </c>
      <c r="E118" s="107">
        <v>-2.75</v>
      </c>
      <c r="G118" s="42"/>
      <c r="H118" s="42"/>
      <c r="I118" s="42"/>
      <c r="J118" s="42"/>
      <c r="K118" s="42"/>
      <c r="L118" s="42"/>
      <c r="M118" s="42"/>
    </row>
    <row r="119">
      <c r="A119" s="197">
        <v>45777.0</v>
      </c>
      <c r="B119" s="198" t="s">
        <v>15</v>
      </c>
      <c r="C119" s="199">
        <v>9.99</v>
      </c>
      <c r="D119" s="200" t="s">
        <v>936</v>
      </c>
      <c r="E119" s="107">
        <v>-13.25</v>
      </c>
      <c r="G119" s="42"/>
      <c r="H119" s="42"/>
      <c r="I119" s="42"/>
      <c r="J119" s="42"/>
      <c r="K119" s="42"/>
      <c r="L119" s="42"/>
      <c r="M119" s="42"/>
    </row>
    <row r="120">
      <c r="A120" s="197">
        <v>45777.0</v>
      </c>
      <c r="B120" s="198" t="s">
        <v>17</v>
      </c>
      <c r="C120" s="199">
        <v>7.4</v>
      </c>
      <c r="D120" s="200" t="s">
        <v>1167</v>
      </c>
      <c r="E120" s="107">
        <v>-28.27</v>
      </c>
      <c r="G120" s="42"/>
      <c r="H120" s="42"/>
      <c r="I120" s="42"/>
      <c r="J120" s="42"/>
      <c r="K120" s="42"/>
      <c r="L120" s="42"/>
      <c r="M120" s="42"/>
    </row>
    <row r="121">
      <c r="A121" s="212">
        <v>45774.0</v>
      </c>
      <c r="B121" s="178" t="s">
        <v>19</v>
      </c>
      <c r="C121" s="199">
        <v>0.0</v>
      </c>
      <c r="D121" s="200" t="s">
        <v>1207</v>
      </c>
      <c r="E121" s="107">
        <v>-53.58</v>
      </c>
      <c r="G121" s="42"/>
      <c r="H121" s="42"/>
      <c r="I121" s="42"/>
      <c r="J121" s="42"/>
      <c r="K121" s="42"/>
      <c r="L121" s="42"/>
      <c r="M121" s="42"/>
    </row>
    <row r="122">
      <c r="A122" s="212">
        <v>45762.0</v>
      </c>
      <c r="B122" s="178" t="s">
        <v>24</v>
      </c>
      <c r="C122" s="199">
        <v>-20.0</v>
      </c>
      <c r="D122" s="200" t="s">
        <v>1208</v>
      </c>
      <c r="E122" s="107">
        <v>-1.5</v>
      </c>
      <c r="G122" s="42"/>
      <c r="H122" s="42"/>
      <c r="I122" s="42"/>
      <c r="J122" s="42"/>
      <c r="K122" s="42"/>
      <c r="L122" s="42"/>
      <c r="M122" s="42"/>
    </row>
    <row r="123">
      <c r="A123" s="212">
        <v>45762.0</v>
      </c>
      <c r="B123" s="178" t="s">
        <v>24</v>
      </c>
      <c r="C123" s="199">
        <v>803.9</v>
      </c>
      <c r="D123" s="200" t="s">
        <v>1209</v>
      </c>
      <c r="E123" s="107">
        <v>-12.84</v>
      </c>
      <c r="G123" s="42"/>
      <c r="H123" s="42"/>
      <c r="I123" s="42"/>
      <c r="J123" s="42"/>
      <c r="K123" s="42"/>
      <c r="L123" s="42"/>
      <c r="M123" s="42"/>
    </row>
    <row r="124">
      <c r="A124" s="212">
        <v>45756.0</v>
      </c>
      <c r="B124" s="184" t="s">
        <v>14</v>
      </c>
      <c r="C124" s="199">
        <v>-50.0</v>
      </c>
      <c r="D124" s="200" t="s">
        <v>1210</v>
      </c>
      <c r="E124" s="107">
        <v>-1.25</v>
      </c>
      <c r="G124" s="42"/>
      <c r="H124" s="42"/>
      <c r="I124" s="42"/>
      <c r="J124" s="42"/>
      <c r="K124" s="42"/>
      <c r="L124" s="42"/>
      <c r="M124" s="42"/>
    </row>
    <row r="125">
      <c r="A125" s="212">
        <v>45756.0</v>
      </c>
      <c r="B125" s="178" t="s">
        <v>14</v>
      </c>
      <c r="C125" s="199">
        <v>189.01</v>
      </c>
      <c r="D125" s="200" t="s">
        <v>1211</v>
      </c>
      <c r="E125" s="107">
        <v>-25.95</v>
      </c>
      <c r="G125" s="42"/>
      <c r="H125" s="42"/>
      <c r="I125" s="42"/>
      <c r="J125" s="42"/>
      <c r="K125" s="42"/>
      <c r="L125" s="42"/>
      <c r="M125" s="42"/>
    </row>
    <row r="126">
      <c r="A126" s="192"/>
      <c r="B126" s="184"/>
      <c r="C126" s="202"/>
      <c r="D126" s="193"/>
      <c r="E126" s="107">
        <v>-1.25</v>
      </c>
      <c r="G126" s="42"/>
      <c r="H126" s="42"/>
      <c r="I126" s="42"/>
      <c r="J126" s="42"/>
      <c r="K126" s="42"/>
      <c r="L126" s="42"/>
      <c r="M126" s="42"/>
    </row>
    <row r="127">
      <c r="A127" s="181"/>
      <c r="B127" s="178"/>
      <c r="C127" s="182"/>
      <c r="D127" s="183"/>
      <c r="E127" s="107">
        <v>-3.95</v>
      </c>
      <c r="G127" s="42"/>
      <c r="H127" s="42"/>
      <c r="I127" s="42"/>
      <c r="J127" s="42"/>
      <c r="K127" s="42"/>
      <c r="L127" s="42"/>
      <c r="M127" s="42"/>
    </row>
    <row r="128">
      <c r="A128" s="192"/>
      <c r="B128" s="184"/>
      <c r="C128" s="202"/>
      <c r="D128" s="193"/>
      <c r="E128" s="107">
        <v>-1.25</v>
      </c>
      <c r="G128" s="42"/>
      <c r="H128" s="42"/>
      <c r="I128" s="42"/>
      <c r="J128" s="42"/>
      <c r="K128" s="42"/>
      <c r="L128" s="42"/>
      <c r="M128" s="42"/>
    </row>
    <row r="129">
      <c r="A129" s="181"/>
      <c r="B129" s="178"/>
      <c r="C129" s="182"/>
      <c r="D129" s="183"/>
      <c r="E129" s="107">
        <v>-55.88</v>
      </c>
      <c r="G129" s="42"/>
      <c r="H129" s="42"/>
      <c r="I129" s="42"/>
      <c r="J129" s="42"/>
      <c r="K129" s="42"/>
      <c r="L129" s="42"/>
      <c r="M129" s="42"/>
    </row>
    <row r="130">
      <c r="A130" s="181"/>
      <c r="B130" s="178"/>
      <c r="C130" s="182"/>
      <c r="D130" s="183"/>
      <c r="E130" s="107">
        <v>-25.02</v>
      </c>
      <c r="G130" s="42"/>
      <c r="H130" s="42"/>
      <c r="I130" s="42"/>
      <c r="J130" s="42"/>
      <c r="K130" s="42"/>
      <c r="L130" s="42"/>
      <c r="M130" s="42"/>
    </row>
    <row r="131">
      <c r="A131" s="181"/>
      <c r="B131" s="178"/>
      <c r="C131" s="182"/>
      <c r="D131" s="183"/>
      <c r="E131" s="107">
        <v>-81.2</v>
      </c>
      <c r="G131" s="42"/>
      <c r="H131" s="42"/>
      <c r="I131" s="42"/>
      <c r="J131" s="42"/>
      <c r="K131" s="42"/>
      <c r="L131" s="42"/>
      <c r="M131" s="42"/>
    </row>
    <row r="132">
      <c r="A132" s="192"/>
      <c r="B132" s="184"/>
      <c r="C132" s="189"/>
      <c r="D132" s="186"/>
      <c r="E132" s="107"/>
      <c r="G132" s="42"/>
      <c r="H132" s="42"/>
      <c r="I132" s="42"/>
      <c r="J132" s="42"/>
      <c r="K132" s="42"/>
      <c r="L132" s="42"/>
      <c r="M132" s="42"/>
    </row>
    <row r="133">
      <c r="A133" s="204"/>
      <c r="B133" s="184"/>
      <c r="C133" s="194"/>
      <c r="D133" s="194"/>
      <c r="E133" s="107"/>
      <c r="G133" s="42"/>
      <c r="H133" s="42"/>
      <c r="I133" s="42"/>
      <c r="J133" s="42"/>
      <c r="K133" s="42"/>
      <c r="L133" s="42"/>
      <c r="M133" s="42"/>
    </row>
    <row r="134">
      <c r="A134" s="181"/>
      <c r="B134" s="178"/>
      <c r="C134" s="182"/>
      <c r="D134" s="180"/>
      <c r="E134" s="107"/>
      <c r="G134" s="42"/>
      <c r="H134" s="42"/>
      <c r="I134" s="42"/>
      <c r="J134" s="42"/>
      <c r="K134" s="42"/>
      <c r="L134" s="42"/>
      <c r="M134" s="42"/>
    </row>
    <row r="135">
      <c r="A135" s="192"/>
      <c r="B135" s="186"/>
      <c r="C135" s="189"/>
      <c r="D135" s="186"/>
      <c r="E135" s="107"/>
      <c r="G135" s="42"/>
      <c r="H135" s="42"/>
      <c r="I135" s="42"/>
      <c r="J135" s="42"/>
      <c r="K135" s="42"/>
      <c r="L135" s="42"/>
      <c r="M135" s="42"/>
    </row>
    <row r="136">
      <c r="A136" s="181"/>
      <c r="B136" s="178"/>
      <c r="C136" s="182"/>
      <c r="D136" s="180"/>
      <c r="E136" s="107"/>
      <c r="G136" s="42"/>
      <c r="H136" s="42"/>
      <c r="I136" s="42"/>
      <c r="J136" s="42"/>
      <c r="K136" s="42"/>
      <c r="L136" s="42"/>
      <c r="M136" s="42"/>
    </row>
    <row r="137">
      <c r="A137" s="192"/>
      <c r="B137" s="186"/>
      <c r="C137" s="189"/>
      <c r="D137" s="186"/>
      <c r="E137" s="107"/>
      <c r="G137" s="42"/>
      <c r="H137" s="42"/>
      <c r="I137" s="42"/>
      <c r="J137" s="42"/>
      <c r="K137" s="42"/>
      <c r="L137" s="42"/>
      <c r="M137" s="42"/>
    </row>
    <row r="138">
      <c r="A138" s="181"/>
      <c r="B138" s="178"/>
      <c r="C138" s="182"/>
      <c r="D138" s="180"/>
      <c r="E138" s="107"/>
      <c r="G138" s="42"/>
      <c r="H138" s="42"/>
      <c r="I138" s="42"/>
      <c r="J138" s="42"/>
      <c r="K138" s="42"/>
      <c r="L138" s="42"/>
      <c r="M138" s="42"/>
    </row>
    <row r="139">
      <c r="A139" s="188"/>
      <c r="B139" s="186"/>
      <c r="C139" s="189"/>
      <c r="D139" s="186"/>
      <c r="E139" s="107"/>
      <c r="G139" s="42"/>
      <c r="H139" s="42"/>
      <c r="I139" s="42"/>
      <c r="J139" s="42"/>
      <c r="K139" s="42"/>
      <c r="L139" s="42"/>
      <c r="M139" s="42"/>
    </row>
    <row r="140">
      <c r="A140" s="181"/>
      <c r="B140" s="178"/>
      <c r="C140" s="182"/>
      <c r="D140" s="180"/>
      <c r="E140" s="107"/>
      <c r="G140" s="42"/>
      <c r="H140" s="42"/>
      <c r="I140" s="42"/>
      <c r="J140" s="42"/>
      <c r="K140" s="42"/>
      <c r="L140" s="42"/>
      <c r="M140" s="42"/>
    </row>
    <row r="141">
      <c r="A141" s="181"/>
      <c r="B141" s="178"/>
      <c r="C141" s="182"/>
      <c r="D141" s="180"/>
      <c r="E141" s="107"/>
      <c r="G141" s="42"/>
      <c r="H141" s="42"/>
      <c r="I141" s="42"/>
      <c r="J141" s="42"/>
      <c r="K141" s="42"/>
      <c r="L141" s="42"/>
      <c r="M141" s="42"/>
    </row>
    <row r="142">
      <c r="A142" s="188"/>
      <c r="B142" s="186"/>
      <c r="C142" s="189"/>
      <c r="D142" s="186"/>
      <c r="E142" s="107"/>
      <c r="G142" s="42"/>
      <c r="H142" s="42"/>
      <c r="I142" s="42"/>
      <c r="J142" s="42"/>
      <c r="K142" s="42"/>
      <c r="L142" s="42"/>
      <c r="M142" s="42"/>
    </row>
    <row r="143">
      <c r="A143" s="181"/>
      <c r="B143" s="178"/>
      <c r="C143" s="182"/>
      <c r="D143" s="180"/>
      <c r="E143" s="107"/>
      <c r="G143" s="42"/>
      <c r="H143" s="42"/>
      <c r="I143" s="42"/>
      <c r="J143" s="42"/>
      <c r="K143" s="42"/>
      <c r="L143" s="42"/>
      <c r="M143" s="42"/>
    </row>
    <row r="144">
      <c r="A144" s="181"/>
      <c r="B144" s="178"/>
      <c r="C144" s="182"/>
      <c r="D144" s="180"/>
      <c r="E144" s="107"/>
      <c r="G144" s="42"/>
      <c r="H144" s="42"/>
      <c r="I144" s="42"/>
      <c r="J144" s="42"/>
      <c r="K144" s="42"/>
      <c r="L144" s="42"/>
      <c r="M144" s="42"/>
    </row>
    <row r="145">
      <c r="A145" s="192"/>
      <c r="B145" s="184"/>
      <c r="C145" s="202"/>
      <c r="D145" s="193"/>
      <c r="E145" s="107"/>
      <c r="G145" s="42"/>
      <c r="H145" s="42"/>
      <c r="I145" s="42"/>
      <c r="J145" s="42"/>
      <c r="K145" s="42"/>
      <c r="L145" s="42"/>
      <c r="M145" s="42"/>
    </row>
    <row r="146">
      <c r="A146" s="181"/>
      <c r="B146" s="205"/>
      <c r="C146" s="183"/>
      <c r="D146" s="183"/>
      <c r="E146" s="107"/>
      <c r="G146" s="42"/>
      <c r="H146" s="42"/>
      <c r="I146" s="42"/>
      <c r="J146" s="42"/>
      <c r="K146" s="42"/>
      <c r="L146" s="42"/>
      <c r="M146" s="42"/>
    </row>
    <row r="147">
      <c r="A147" s="188"/>
      <c r="B147" s="186"/>
      <c r="C147" s="189"/>
      <c r="D147" s="186"/>
      <c r="E147" s="107"/>
      <c r="G147" s="42"/>
      <c r="H147" s="42"/>
      <c r="I147" s="42"/>
      <c r="J147" s="42"/>
      <c r="K147" s="42"/>
      <c r="L147" s="42"/>
      <c r="M147" s="42"/>
    </row>
    <row r="148">
      <c r="A148" s="181"/>
      <c r="B148" s="205"/>
      <c r="C148" s="183"/>
      <c r="D148" s="183"/>
      <c r="E148" s="107"/>
      <c r="G148" s="42"/>
      <c r="H148" s="42"/>
      <c r="I148" s="42"/>
      <c r="J148" s="42"/>
      <c r="K148" s="42"/>
      <c r="L148" s="42"/>
      <c r="M148" s="42"/>
    </row>
    <row r="149">
      <c r="A149" s="188"/>
      <c r="B149" s="186"/>
      <c r="C149" s="189"/>
      <c r="D149" s="186"/>
      <c r="E149" s="107"/>
      <c r="G149" s="42"/>
      <c r="H149" s="42"/>
      <c r="I149" s="42"/>
      <c r="J149" s="42"/>
      <c r="K149" s="42"/>
      <c r="L149" s="42"/>
      <c r="M149" s="42"/>
    </row>
    <row r="150">
      <c r="A150" s="181"/>
      <c r="B150" s="205"/>
      <c r="C150" s="183"/>
      <c r="D150" s="183"/>
      <c r="E150" s="107"/>
      <c r="G150" s="42"/>
      <c r="H150" s="42"/>
      <c r="I150" s="42"/>
      <c r="J150" s="42"/>
      <c r="K150" s="42"/>
      <c r="L150" s="42"/>
      <c r="M150" s="42"/>
    </row>
    <row r="151">
      <c r="A151" s="181"/>
      <c r="B151" s="205"/>
      <c r="C151" s="183"/>
      <c r="D151" s="183"/>
      <c r="E151" s="107"/>
      <c r="G151" s="42"/>
      <c r="H151" s="42"/>
      <c r="I151" s="42"/>
      <c r="J151" s="42"/>
      <c r="K151" s="42"/>
      <c r="L151" s="42"/>
      <c r="M151" s="42"/>
    </row>
    <row r="152">
      <c r="A152" s="181"/>
      <c r="B152" s="205"/>
      <c r="C152" s="183"/>
      <c r="D152" s="183"/>
      <c r="E152" s="107"/>
      <c r="G152" s="42"/>
      <c r="H152" s="42"/>
      <c r="I152" s="42"/>
      <c r="J152" s="42"/>
      <c r="K152" s="42"/>
      <c r="L152" s="42"/>
      <c r="M152" s="42"/>
    </row>
    <row r="153">
      <c r="A153" s="188"/>
      <c r="B153" s="186"/>
      <c r="C153" s="189"/>
      <c r="D153" s="186"/>
      <c r="E153" s="107"/>
      <c r="G153" s="42"/>
      <c r="H153" s="42"/>
      <c r="I153" s="42"/>
      <c r="J153" s="42"/>
      <c r="K153" s="42"/>
      <c r="L153" s="42"/>
      <c r="M153" s="42"/>
    </row>
    <row r="154">
      <c r="A154" s="181"/>
      <c r="B154" s="205"/>
      <c r="C154" s="183"/>
      <c r="D154" s="183"/>
      <c r="E154" s="107"/>
      <c r="G154" s="42"/>
      <c r="H154" s="42"/>
      <c r="I154" s="42"/>
      <c r="J154" s="42"/>
      <c r="K154" s="42"/>
      <c r="L154" s="42"/>
      <c r="M154" s="42"/>
    </row>
    <row r="155">
      <c r="A155" s="181"/>
      <c r="B155" s="205"/>
      <c r="C155" s="183"/>
      <c r="D155" s="183"/>
      <c r="E155" s="107"/>
      <c r="G155" s="42"/>
      <c r="H155" s="42"/>
      <c r="I155" s="42"/>
      <c r="J155" s="42"/>
      <c r="K155" s="42"/>
      <c r="L155" s="42"/>
      <c r="M155" s="42"/>
    </row>
    <row r="156">
      <c r="A156" s="188"/>
      <c r="B156" s="186"/>
      <c r="C156" s="189"/>
      <c r="D156" s="186"/>
      <c r="E156" s="107"/>
      <c r="G156" s="42"/>
      <c r="H156" s="42"/>
      <c r="I156" s="42"/>
      <c r="J156" s="42"/>
      <c r="K156" s="42"/>
      <c r="L156" s="42"/>
      <c r="M156" s="42"/>
    </row>
    <row r="157">
      <c r="A157" s="188"/>
      <c r="B157" s="186"/>
      <c r="C157" s="189"/>
      <c r="D157" s="186"/>
      <c r="E157" s="107"/>
      <c r="G157" s="42"/>
      <c r="H157" s="42"/>
      <c r="I157" s="42"/>
      <c r="J157" s="42"/>
      <c r="K157" s="42"/>
      <c r="L157" s="42"/>
      <c r="M157" s="42"/>
    </row>
    <row r="158">
      <c r="A158" s="181"/>
      <c r="B158" s="178"/>
      <c r="C158" s="182"/>
      <c r="D158" s="183"/>
      <c r="E158" s="107"/>
      <c r="G158" s="42"/>
      <c r="H158" s="42"/>
      <c r="I158" s="42"/>
      <c r="J158" s="42"/>
      <c r="K158" s="42"/>
      <c r="L158" s="42"/>
      <c r="M158" s="42"/>
    </row>
    <row r="159">
      <c r="A159" s="181"/>
      <c r="B159" s="178"/>
      <c r="C159" s="182"/>
      <c r="D159" s="183"/>
      <c r="E159" s="107"/>
      <c r="G159" s="42"/>
      <c r="H159" s="42"/>
      <c r="I159" s="42"/>
      <c r="J159" s="42"/>
      <c r="K159" s="42"/>
      <c r="L159" s="42"/>
      <c r="M159" s="42"/>
    </row>
    <row r="160">
      <c r="A160" s="181"/>
      <c r="B160" s="178"/>
      <c r="C160" s="182"/>
      <c r="D160" s="183"/>
      <c r="E160" s="107"/>
      <c r="G160" s="42"/>
      <c r="H160" s="42"/>
      <c r="I160" s="42"/>
      <c r="J160" s="42"/>
      <c r="K160" s="42"/>
      <c r="L160" s="42"/>
      <c r="M160" s="42"/>
    </row>
    <row r="161">
      <c r="A161" s="181"/>
      <c r="B161" s="178"/>
      <c r="C161" s="182"/>
      <c r="D161" s="183"/>
      <c r="E161" s="107"/>
      <c r="G161" s="42"/>
      <c r="H161" s="42"/>
      <c r="I161" s="42"/>
      <c r="J161" s="42"/>
      <c r="K161" s="42"/>
      <c r="L161" s="42"/>
      <c r="M161" s="42"/>
    </row>
    <row r="162">
      <c r="A162" s="188"/>
      <c r="B162" s="186"/>
      <c r="C162" s="189"/>
      <c r="D162" s="186"/>
      <c r="E162" s="107"/>
      <c r="G162" s="42"/>
      <c r="H162" s="42"/>
      <c r="I162" s="42"/>
      <c r="J162" s="42"/>
      <c r="K162" s="42"/>
      <c r="L162" s="42"/>
      <c r="M162" s="42"/>
    </row>
    <row r="163">
      <c r="A163" s="188"/>
      <c r="B163" s="186"/>
      <c r="C163" s="189"/>
      <c r="D163" s="186"/>
      <c r="E163" s="107"/>
      <c r="G163" s="42"/>
      <c r="H163" s="42"/>
      <c r="I163" s="42"/>
      <c r="J163" s="42"/>
      <c r="K163" s="42"/>
      <c r="L163" s="42"/>
      <c r="M163" s="42"/>
    </row>
    <row r="164">
      <c r="A164" s="188"/>
      <c r="B164" s="186"/>
      <c r="C164" s="189"/>
      <c r="D164" s="186"/>
      <c r="E164" s="107"/>
      <c r="G164" s="42"/>
      <c r="H164" s="42"/>
      <c r="I164" s="42"/>
      <c r="J164" s="42"/>
      <c r="K164" s="42"/>
      <c r="L164" s="42"/>
      <c r="M164" s="42"/>
    </row>
    <row r="165">
      <c r="A165" s="190"/>
      <c r="B165" s="184"/>
      <c r="C165" s="194"/>
      <c r="D165" s="194"/>
      <c r="E165" s="107"/>
      <c r="G165" s="42"/>
      <c r="H165" s="42"/>
      <c r="I165" s="42"/>
      <c r="J165" s="42"/>
      <c r="K165" s="42"/>
      <c r="L165" s="42"/>
      <c r="M165" s="42"/>
    </row>
    <row r="166">
      <c r="A166" s="190"/>
      <c r="B166" s="184"/>
      <c r="C166" s="194"/>
      <c r="D166" s="194"/>
      <c r="E166" s="107"/>
      <c r="G166" s="42"/>
      <c r="H166" s="42"/>
      <c r="I166" s="42"/>
      <c r="J166" s="42"/>
      <c r="K166" s="42"/>
      <c r="L166" s="42"/>
      <c r="M166" s="42"/>
    </row>
    <row r="167">
      <c r="A167" s="188"/>
      <c r="B167" s="186"/>
      <c r="C167" s="189"/>
      <c r="D167" s="186"/>
      <c r="E167" s="107"/>
      <c r="G167" s="42"/>
      <c r="H167" s="42"/>
      <c r="I167" s="42"/>
      <c r="J167" s="42"/>
      <c r="K167" s="42"/>
      <c r="L167" s="42"/>
      <c r="M167" s="42"/>
    </row>
    <row r="168">
      <c r="A168" s="188"/>
      <c r="B168" s="186"/>
      <c r="C168" s="189"/>
      <c r="D168" s="186"/>
      <c r="E168" s="107"/>
      <c r="G168" s="42"/>
      <c r="H168" s="42"/>
      <c r="I168" s="42"/>
      <c r="J168" s="42"/>
      <c r="K168" s="42"/>
      <c r="L168" s="42"/>
      <c r="M168" s="42"/>
    </row>
    <row r="169">
      <c r="A169" s="192"/>
      <c r="B169" s="184"/>
      <c r="C169" s="202"/>
      <c r="D169" s="193"/>
      <c r="E169" s="107"/>
      <c r="G169" s="42"/>
      <c r="H169" s="42"/>
      <c r="I169" s="42"/>
      <c r="J169" s="42"/>
      <c r="K169" s="42"/>
      <c r="L169" s="42"/>
      <c r="M169" s="42"/>
    </row>
    <row r="170">
      <c r="A170" s="188"/>
      <c r="B170" s="186"/>
      <c r="C170" s="189"/>
      <c r="D170" s="186"/>
      <c r="E170" s="107"/>
      <c r="G170" s="42"/>
      <c r="H170" s="42"/>
      <c r="I170" s="42"/>
      <c r="J170" s="42"/>
      <c r="K170" s="42"/>
      <c r="L170" s="42"/>
      <c r="M170" s="42"/>
    </row>
    <row r="171">
      <c r="A171" s="190"/>
      <c r="B171" s="184"/>
      <c r="C171" s="194"/>
      <c r="D171" s="194"/>
      <c r="E171" s="107"/>
      <c r="G171" s="42"/>
      <c r="H171" s="42"/>
      <c r="I171" s="42"/>
      <c r="J171" s="42"/>
      <c r="K171" s="42"/>
      <c r="L171" s="42"/>
      <c r="M171" s="42"/>
    </row>
    <row r="172">
      <c r="A172" s="190"/>
      <c r="B172" s="184"/>
      <c r="C172" s="194"/>
      <c r="D172" s="194"/>
      <c r="E172" s="107"/>
      <c r="G172" s="42"/>
      <c r="H172" s="42"/>
      <c r="I172" s="42"/>
      <c r="J172" s="42"/>
      <c r="K172" s="42"/>
      <c r="L172" s="42"/>
      <c r="M172" s="42"/>
    </row>
    <row r="173">
      <c r="A173" s="188"/>
      <c r="B173" s="186"/>
      <c r="C173" s="189"/>
      <c r="D173" s="186"/>
      <c r="E173" s="107"/>
      <c r="G173" s="42"/>
      <c r="H173" s="42"/>
      <c r="I173" s="42"/>
      <c r="J173" s="42"/>
      <c r="K173" s="42"/>
      <c r="L173" s="42"/>
      <c r="M173" s="42"/>
    </row>
    <row r="174">
      <c r="A174" s="188"/>
      <c r="B174" s="186"/>
      <c r="C174" s="189"/>
      <c r="D174" s="186"/>
      <c r="E174" s="107"/>
      <c r="G174" s="42"/>
      <c r="H174" s="42"/>
      <c r="I174" s="42"/>
      <c r="J174" s="42"/>
      <c r="K174" s="42"/>
      <c r="L174" s="42"/>
      <c r="M174" s="42"/>
    </row>
    <row r="175">
      <c r="A175" s="188"/>
      <c r="B175" s="186"/>
      <c r="C175" s="189"/>
      <c r="D175" s="186"/>
      <c r="E175" s="107"/>
      <c r="G175" s="42"/>
      <c r="H175" s="42"/>
      <c r="I175" s="42"/>
      <c r="J175" s="42"/>
      <c r="K175" s="42"/>
      <c r="L175" s="42"/>
      <c r="M175" s="42"/>
    </row>
    <row r="176">
      <c r="A176" s="188"/>
      <c r="B176" s="186"/>
      <c r="C176" s="189"/>
      <c r="D176" s="186"/>
      <c r="E176" s="107"/>
      <c r="G176" s="42"/>
      <c r="H176" s="42"/>
      <c r="I176" s="42"/>
      <c r="J176" s="42"/>
      <c r="K176" s="42"/>
      <c r="L176" s="42"/>
      <c r="M176" s="42"/>
    </row>
    <row r="177">
      <c r="A177" s="188"/>
      <c r="B177" s="186"/>
      <c r="C177" s="189"/>
      <c r="D177" s="186"/>
      <c r="E177" s="107"/>
      <c r="G177" s="42"/>
      <c r="H177" s="42"/>
      <c r="I177" s="42"/>
      <c r="J177" s="42"/>
      <c r="K177" s="42"/>
      <c r="L177" s="42"/>
      <c r="M177" s="42"/>
    </row>
    <row r="178">
      <c r="A178" s="188"/>
      <c r="B178" s="186"/>
      <c r="C178" s="189"/>
      <c r="D178" s="186"/>
      <c r="E178" s="107"/>
      <c r="G178" s="42"/>
      <c r="H178" s="42"/>
      <c r="I178" s="42"/>
      <c r="J178" s="42"/>
      <c r="K178" s="42"/>
      <c r="L178" s="42"/>
      <c r="M178" s="42"/>
    </row>
    <row r="179">
      <c r="A179" s="190"/>
      <c r="B179" s="184"/>
      <c r="C179" s="194"/>
      <c r="D179" s="194"/>
      <c r="E179" s="107"/>
      <c r="G179" s="42"/>
      <c r="H179" s="42"/>
      <c r="I179" s="42"/>
      <c r="J179" s="42"/>
      <c r="K179" s="42"/>
      <c r="L179" s="42"/>
      <c r="M179" s="42"/>
    </row>
    <row r="180">
      <c r="A180" s="188"/>
      <c r="B180" s="186"/>
      <c r="C180" s="189"/>
      <c r="D180" s="186"/>
      <c r="E180" s="107"/>
      <c r="G180" s="42"/>
      <c r="H180" s="42"/>
      <c r="I180" s="42"/>
      <c r="J180" s="42"/>
      <c r="K180" s="42"/>
      <c r="L180" s="42"/>
      <c r="M180" s="42"/>
    </row>
    <row r="181">
      <c r="A181" s="188"/>
      <c r="B181" s="186"/>
      <c r="C181" s="189"/>
      <c r="D181" s="186"/>
      <c r="E181" s="107"/>
      <c r="G181" s="42"/>
      <c r="H181" s="42"/>
      <c r="I181" s="42"/>
      <c r="J181" s="42"/>
      <c r="K181" s="42"/>
      <c r="L181" s="42"/>
      <c r="M181" s="42"/>
    </row>
    <row r="182">
      <c r="A182" s="188"/>
      <c r="B182" s="186"/>
      <c r="C182" s="189"/>
      <c r="D182" s="186"/>
      <c r="E182" s="107"/>
      <c r="G182" s="42"/>
      <c r="H182" s="42"/>
      <c r="I182" s="42"/>
      <c r="J182" s="42"/>
      <c r="K182" s="42"/>
      <c r="L182" s="42"/>
      <c r="M182" s="42"/>
    </row>
    <row r="183">
      <c r="A183" s="188"/>
      <c r="B183" s="186"/>
      <c r="C183" s="189"/>
      <c r="D183" s="186"/>
      <c r="E183" s="107"/>
      <c r="G183" s="42"/>
      <c r="H183" s="42"/>
      <c r="I183" s="42"/>
      <c r="J183" s="42"/>
      <c r="K183" s="42"/>
      <c r="L183" s="42"/>
      <c r="M183" s="42"/>
    </row>
    <row r="184">
      <c r="A184" s="190"/>
      <c r="B184" s="184"/>
      <c r="C184" s="194"/>
      <c r="D184" s="194"/>
      <c r="E184" s="107"/>
      <c r="G184" s="42"/>
      <c r="H184" s="42"/>
      <c r="I184" s="42"/>
      <c r="J184" s="42"/>
      <c r="K184" s="42"/>
      <c r="L184" s="42"/>
      <c r="M184" s="42"/>
    </row>
    <row r="185">
      <c r="A185" s="174"/>
      <c r="B185" s="175"/>
      <c r="C185" s="176"/>
      <c r="D185" s="175"/>
      <c r="E185" s="107"/>
      <c r="G185" s="42"/>
      <c r="H185" s="42"/>
      <c r="I185" s="42"/>
      <c r="J185" s="42"/>
      <c r="K185" s="42"/>
      <c r="L185" s="42"/>
      <c r="M185" s="42"/>
    </row>
    <row r="186">
      <c r="A186" s="177"/>
      <c r="B186" s="178"/>
      <c r="C186" s="180"/>
      <c r="D186" s="180"/>
      <c r="E186" s="107"/>
      <c r="G186" s="42"/>
      <c r="H186" s="42"/>
      <c r="I186" s="42"/>
      <c r="J186" s="42"/>
      <c r="K186" s="42"/>
      <c r="L186" s="42"/>
      <c r="M186" s="42"/>
    </row>
    <row r="187">
      <c r="A187" s="174"/>
      <c r="B187" s="175"/>
      <c r="C187" s="176"/>
      <c r="D187" s="175"/>
      <c r="E187" s="107"/>
      <c r="G187" s="42"/>
      <c r="H187" s="42"/>
      <c r="I187" s="42"/>
      <c r="J187" s="42"/>
      <c r="K187" s="42"/>
      <c r="L187" s="42"/>
      <c r="M187" s="42"/>
    </row>
    <row r="188">
      <c r="A188" s="174"/>
      <c r="B188" s="175"/>
      <c r="C188" s="176"/>
      <c r="D188" s="175"/>
      <c r="E188" s="107"/>
      <c r="G188" s="42"/>
      <c r="H188" s="42"/>
      <c r="I188" s="42"/>
      <c r="J188" s="42"/>
      <c r="K188" s="42"/>
      <c r="L188" s="42"/>
      <c r="M188" s="42"/>
    </row>
    <row r="189">
      <c r="A189" s="174"/>
      <c r="B189" s="175"/>
      <c r="C189" s="176"/>
      <c r="D189" s="175"/>
      <c r="E189" s="107"/>
      <c r="G189" s="42"/>
      <c r="H189" s="42"/>
      <c r="I189" s="42"/>
      <c r="J189" s="42"/>
      <c r="K189" s="42"/>
      <c r="L189" s="42"/>
      <c r="M189" s="42"/>
    </row>
    <row r="190">
      <c r="A190" s="177"/>
      <c r="B190" s="178"/>
      <c r="C190" s="180"/>
      <c r="D190" s="180"/>
      <c r="E190" s="107"/>
      <c r="G190" s="42"/>
      <c r="H190" s="42"/>
      <c r="I190" s="42"/>
      <c r="J190" s="42"/>
      <c r="K190" s="42"/>
      <c r="L190" s="42"/>
      <c r="M190" s="42"/>
    </row>
    <row r="191">
      <c r="A191" s="181"/>
      <c r="B191" s="178"/>
      <c r="C191" s="182"/>
      <c r="D191" s="183"/>
      <c r="E191" s="107"/>
      <c r="G191" s="42"/>
      <c r="H191" s="42"/>
      <c r="I191" s="42"/>
      <c r="J191" s="42"/>
      <c r="K191" s="42"/>
      <c r="L191" s="42"/>
      <c r="M191" s="42"/>
    </row>
    <row r="192">
      <c r="A192" s="181"/>
      <c r="B192" s="178"/>
      <c r="C192" s="182"/>
      <c r="D192" s="183"/>
      <c r="E192" s="107"/>
      <c r="G192" s="42"/>
      <c r="H192" s="42"/>
      <c r="I192" s="42"/>
      <c r="J192" s="42"/>
      <c r="K192" s="42"/>
      <c r="L192" s="42"/>
      <c r="M192" s="42"/>
    </row>
    <row r="193">
      <c r="A193" s="181"/>
      <c r="B193" s="178"/>
      <c r="C193" s="182"/>
      <c r="D193" s="183"/>
      <c r="E193" s="107"/>
      <c r="G193" s="42"/>
      <c r="H193" s="42"/>
      <c r="I193" s="42"/>
      <c r="J193" s="42"/>
      <c r="K193" s="42"/>
      <c r="L193" s="42"/>
      <c r="M193" s="42"/>
    </row>
    <row r="194">
      <c r="A194" s="177"/>
      <c r="B194" s="178"/>
      <c r="C194" s="180"/>
      <c r="D194" s="180"/>
      <c r="E194" s="107"/>
      <c r="G194" s="42"/>
      <c r="H194" s="42"/>
      <c r="I194" s="42"/>
      <c r="J194" s="42"/>
      <c r="K194" s="42"/>
      <c r="L194" s="42"/>
      <c r="M194" s="42"/>
    </row>
    <row r="195">
      <c r="A195" s="177"/>
      <c r="B195" s="178"/>
      <c r="C195" s="180"/>
      <c r="D195" s="180"/>
      <c r="E195" s="107"/>
      <c r="G195" s="42"/>
      <c r="H195" s="42"/>
      <c r="I195" s="42"/>
      <c r="J195" s="42"/>
      <c r="K195" s="42"/>
      <c r="L195" s="42"/>
      <c r="M195" s="42"/>
    </row>
    <row r="196">
      <c r="A196" s="174"/>
      <c r="B196" s="175"/>
      <c r="C196" s="176"/>
      <c r="D196" s="175"/>
      <c r="E196" s="107"/>
      <c r="G196" s="42"/>
      <c r="H196" s="42"/>
      <c r="I196" s="42"/>
      <c r="J196" s="42"/>
      <c r="K196" s="42"/>
      <c r="L196" s="42"/>
      <c r="M196" s="42"/>
    </row>
    <row r="197">
      <c r="A197" s="174"/>
      <c r="B197" s="175"/>
      <c r="C197" s="176"/>
      <c r="D197" s="175"/>
      <c r="E197" s="107"/>
      <c r="G197" s="42"/>
      <c r="H197" s="42"/>
      <c r="I197" s="42"/>
      <c r="J197" s="42"/>
      <c r="K197" s="42"/>
      <c r="L197" s="42"/>
      <c r="M197" s="42"/>
    </row>
    <row r="198">
      <c r="A198" s="174"/>
      <c r="B198" s="175"/>
      <c r="C198" s="176"/>
      <c r="D198" s="175"/>
      <c r="E198" s="107"/>
      <c r="G198" s="42"/>
      <c r="H198" s="42"/>
      <c r="I198" s="42"/>
      <c r="J198" s="42"/>
      <c r="K198" s="42"/>
      <c r="L198" s="42"/>
      <c r="M198" s="42"/>
    </row>
    <row r="199">
      <c r="A199" s="174"/>
      <c r="B199" s="175"/>
      <c r="C199" s="176"/>
      <c r="D199" s="175"/>
      <c r="E199" s="107"/>
      <c r="G199" s="42"/>
      <c r="H199" s="42"/>
      <c r="I199" s="42"/>
      <c r="J199" s="42"/>
      <c r="K199" s="42"/>
      <c r="L199" s="42"/>
      <c r="M199" s="42"/>
    </row>
    <row r="200">
      <c r="A200" s="174"/>
      <c r="B200" s="175"/>
      <c r="C200" s="176"/>
      <c r="D200" s="175"/>
      <c r="E200" s="107"/>
      <c r="G200" s="42"/>
      <c r="H200" s="42"/>
      <c r="I200" s="42"/>
      <c r="J200" s="42"/>
      <c r="K200" s="42"/>
      <c r="L200" s="42"/>
      <c r="M200" s="42"/>
    </row>
    <row r="201">
      <c r="A201" s="174"/>
      <c r="B201" s="175"/>
      <c r="C201" s="176"/>
      <c r="D201" s="175"/>
      <c r="E201" s="107"/>
      <c r="G201" s="42"/>
      <c r="H201" s="42"/>
      <c r="I201" s="42"/>
      <c r="J201" s="42"/>
      <c r="K201" s="42"/>
      <c r="L201" s="42"/>
      <c r="M201" s="42"/>
    </row>
    <row r="202">
      <c r="A202" s="181"/>
      <c r="B202" s="178"/>
      <c r="C202" s="182"/>
      <c r="D202" s="183"/>
      <c r="E202" s="107"/>
      <c r="G202" s="42"/>
      <c r="H202" s="42"/>
      <c r="I202" s="42"/>
      <c r="J202" s="42"/>
      <c r="K202" s="42"/>
      <c r="L202" s="42"/>
      <c r="M202" s="42"/>
    </row>
    <row r="203">
      <c r="A203" s="181"/>
      <c r="B203" s="178"/>
      <c r="C203" s="182"/>
      <c r="D203" s="183"/>
      <c r="E203" s="107"/>
      <c r="G203" s="42"/>
      <c r="H203" s="42"/>
      <c r="I203" s="42"/>
      <c r="J203" s="42"/>
      <c r="K203" s="42"/>
      <c r="L203" s="42"/>
      <c r="M203" s="42"/>
    </row>
    <row r="204">
      <c r="A204" s="181"/>
      <c r="B204" s="178"/>
      <c r="C204" s="182"/>
      <c r="D204" s="183"/>
      <c r="E204" s="107"/>
      <c r="G204" s="42"/>
      <c r="H204" s="42"/>
      <c r="I204" s="42"/>
      <c r="J204" s="42"/>
      <c r="K204" s="42"/>
      <c r="L204" s="42"/>
      <c r="M204" s="42"/>
    </row>
    <row r="205">
      <c r="A205" s="174"/>
      <c r="B205" s="175"/>
      <c r="C205" s="176"/>
      <c r="D205" s="175"/>
      <c r="E205" s="107"/>
      <c r="G205" s="42"/>
      <c r="H205" s="42"/>
      <c r="I205" s="42"/>
      <c r="J205" s="42"/>
      <c r="K205" s="42"/>
      <c r="L205" s="42"/>
      <c r="M205" s="42"/>
    </row>
    <row r="206">
      <c r="A206" s="174"/>
      <c r="B206" s="175"/>
      <c r="C206" s="176"/>
      <c r="D206" s="175"/>
      <c r="E206" s="107"/>
      <c r="G206" s="42"/>
      <c r="H206" s="42"/>
      <c r="I206" s="42"/>
      <c r="J206" s="42"/>
      <c r="K206" s="42"/>
      <c r="L206" s="42"/>
      <c r="M206" s="42"/>
    </row>
    <row r="207">
      <c r="A207" s="174"/>
      <c r="B207" s="175"/>
      <c r="C207" s="176"/>
      <c r="D207" s="175"/>
      <c r="E207" s="107"/>
      <c r="G207" s="42"/>
      <c r="H207" s="42"/>
      <c r="I207" s="42"/>
      <c r="J207" s="42"/>
      <c r="K207" s="42"/>
      <c r="L207" s="42"/>
      <c r="M207" s="42"/>
    </row>
    <row r="208">
      <c r="A208" s="177"/>
      <c r="B208" s="178"/>
      <c r="C208" s="180"/>
      <c r="D208" s="180"/>
      <c r="E208" s="107"/>
      <c r="G208" s="42"/>
      <c r="H208" s="42"/>
      <c r="I208" s="42"/>
      <c r="J208" s="42"/>
      <c r="K208" s="42"/>
      <c r="L208" s="42"/>
      <c r="M208" s="42"/>
    </row>
    <row r="209">
      <c r="A209" s="177"/>
      <c r="B209" s="178"/>
      <c r="C209" s="180"/>
      <c r="D209" s="180"/>
      <c r="E209" s="107"/>
      <c r="G209" s="42"/>
      <c r="H209" s="42"/>
      <c r="I209" s="42"/>
      <c r="J209" s="42"/>
      <c r="K209" s="42"/>
      <c r="L209" s="42"/>
      <c r="M209" s="42"/>
    </row>
    <row r="210">
      <c r="A210" s="177"/>
      <c r="B210" s="178"/>
      <c r="C210" s="180"/>
      <c r="D210" s="180"/>
      <c r="E210" s="107"/>
      <c r="G210" s="42"/>
      <c r="H210" s="42"/>
      <c r="I210" s="42"/>
      <c r="J210" s="42"/>
      <c r="K210" s="42"/>
      <c r="L210" s="42"/>
      <c r="M210" s="42"/>
    </row>
    <row r="211">
      <c r="A211" s="203"/>
      <c r="B211" s="203"/>
      <c r="C211" s="203"/>
      <c r="D211" s="203"/>
      <c r="E211" s="107"/>
      <c r="G211" s="42"/>
      <c r="H211" s="42"/>
      <c r="I211" s="42"/>
      <c r="J211" s="42"/>
      <c r="K211" s="42"/>
      <c r="L211" s="42"/>
      <c r="M211" s="42"/>
    </row>
    <row r="212">
      <c r="A212" s="203"/>
      <c r="B212" s="203"/>
      <c r="C212" s="203"/>
      <c r="D212" s="203"/>
      <c r="E212" s="107"/>
      <c r="G212" s="42"/>
      <c r="H212" s="42"/>
      <c r="I212" s="42"/>
      <c r="J212" s="42"/>
      <c r="K212" s="42"/>
      <c r="L212" s="42"/>
      <c r="M212" s="42"/>
    </row>
    <row r="213">
      <c r="A213" s="203"/>
      <c r="B213" s="203"/>
      <c r="C213" s="203"/>
      <c r="D213" s="203"/>
      <c r="E213" s="107"/>
      <c r="G213" s="42"/>
      <c r="H213" s="42"/>
      <c r="I213" s="42"/>
      <c r="J213" s="42"/>
      <c r="K213" s="42"/>
      <c r="L213" s="42"/>
      <c r="M213" s="42"/>
    </row>
    <row r="214">
      <c r="A214" s="203"/>
      <c r="B214" s="203"/>
      <c r="C214" s="203"/>
      <c r="D214" s="203"/>
      <c r="E214" s="107"/>
      <c r="G214" s="42"/>
      <c r="H214" s="42"/>
      <c r="I214" s="42"/>
      <c r="J214" s="42"/>
      <c r="K214" s="42"/>
      <c r="L214" s="42"/>
      <c r="M214" s="42"/>
    </row>
    <row r="215">
      <c r="A215" s="203"/>
      <c r="B215" s="203"/>
      <c r="C215" s="203"/>
      <c r="D215" s="203"/>
      <c r="E215" s="107"/>
      <c r="G215" s="42"/>
      <c r="H215" s="42"/>
      <c r="I215" s="42"/>
      <c r="J215" s="42"/>
      <c r="K215" s="42"/>
      <c r="L215" s="42"/>
      <c r="M215" s="42"/>
    </row>
    <row r="216">
      <c r="A216" s="203"/>
      <c r="B216" s="203"/>
      <c r="C216" s="203"/>
      <c r="D216" s="203"/>
      <c r="E216" s="107"/>
      <c r="G216" s="42"/>
      <c r="H216" s="42"/>
      <c r="I216" s="42"/>
      <c r="J216" s="42"/>
      <c r="K216" s="42"/>
      <c r="L216" s="42"/>
      <c r="M216" s="42"/>
    </row>
    <row r="217">
      <c r="A217" s="203"/>
      <c r="B217" s="203"/>
      <c r="C217" s="203"/>
      <c r="D217" s="203"/>
      <c r="E217" s="107"/>
      <c r="G217" s="42"/>
      <c r="H217" s="42"/>
      <c r="I217" s="42"/>
      <c r="J217" s="42"/>
      <c r="K217" s="42"/>
      <c r="L217" s="42"/>
      <c r="M217" s="42"/>
    </row>
    <row r="218">
      <c r="A218" s="203"/>
      <c r="B218" s="203"/>
      <c r="C218" s="203"/>
      <c r="D218" s="203"/>
      <c r="E218" s="107"/>
      <c r="G218" s="42"/>
      <c r="H218" s="42"/>
      <c r="I218" s="42"/>
      <c r="J218" s="42"/>
      <c r="K218" s="42"/>
      <c r="L218" s="42"/>
      <c r="M218" s="42"/>
    </row>
    <row r="219">
      <c r="A219" s="203"/>
      <c r="B219" s="203"/>
      <c r="C219" s="203"/>
      <c r="D219" s="203"/>
      <c r="E219" s="107"/>
      <c r="G219" s="42"/>
      <c r="H219" s="42"/>
      <c r="I219" s="42"/>
      <c r="J219" s="42"/>
      <c r="K219" s="42"/>
      <c r="L219" s="42"/>
      <c r="M219" s="42"/>
    </row>
    <row r="220">
      <c r="A220" s="203"/>
      <c r="B220" s="203"/>
      <c r="C220" s="203"/>
      <c r="D220" s="203"/>
      <c r="E220" s="107"/>
      <c r="G220" s="42"/>
      <c r="H220" s="42"/>
      <c r="I220" s="42"/>
      <c r="J220" s="42"/>
      <c r="K220" s="42"/>
      <c r="L220" s="42"/>
      <c r="M220" s="42"/>
    </row>
    <row r="221">
      <c r="A221" s="203"/>
      <c r="B221" s="203"/>
      <c r="C221" s="203"/>
      <c r="D221" s="203"/>
      <c r="E221" s="132"/>
      <c r="G221" s="42"/>
      <c r="H221" s="42"/>
      <c r="I221" s="42"/>
      <c r="J221" s="42"/>
      <c r="K221" s="42"/>
      <c r="L221" s="42"/>
      <c r="M221" s="42"/>
    </row>
    <row r="222">
      <c r="A222" s="203"/>
      <c r="B222" s="203"/>
      <c r="C222" s="203"/>
      <c r="D222" s="203"/>
      <c r="E222" s="107"/>
      <c r="G222" s="42"/>
      <c r="H222" s="42"/>
      <c r="I222" s="42"/>
      <c r="J222" s="42"/>
      <c r="K222" s="42"/>
      <c r="L222" s="42"/>
      <c r="M222" s="42"/>
    </row>
    <row r="223">
      <c r="A223" s="203"/>
      <c r="B223" s="203"/>
      <c r="C223" s="203"/>
      <c r="D223" s="203"/>
      <c r="E223" s="107"/>
      <c r="G223" s="42"/>
      <c r="H223" s="42"/>
      <c r="I223" s="42"/>
      <c r="J223" s="42"/>
      <c r="K223" s="42"/>
      <c r="L223" s="42"/>
      <c r="M223" s="42"/>
    </row>
    <row r="224">
      <c r="A224" s="203"/>
      <c r="B224" s="203"/>
      <c r="C224" s="203"/>
      <c r="D224" s="203"/>
      <c r="E224" s="107"/>
      <c r="G224" s="42"/>
      <c r="H224" s="42"/>
      <c r="I224" s="42"/>
      <c r="J224" s="42"/>
      <c r="K224" s="42"/>
      <c r="L224" s="42"/>
      <c r="M224" s="42"/>
    </row>
    <row r="225">
      <c r="A225" s="203"/>
      <c r="B225" s="203"/>
      <c r="C225" s="203"/>
      <c r="D225" s="203"/>
      <c r="E225" s="107"/>
      <c r="G225" s="42"/>
      <c r="H225" s="42"/>
      <c r="I225" s="42"/>
      <c r="J225" s="42"/>
      <c r="K225" s="42"/>
      <c r="L225" s="42"/>
      <c r="M225" s="42"/>
    </row>
    <row r="226">
      <c r="A226" s="203"/>
      <c r="B226" s="203"/>
      <c r="C226" s="203"/>
      <c r="D226" s="203"/>
      <c r="E226" s="107"/>
      <c r="G226" s="42"/>
      <c r="H226" s="42"/>
      <c r="I226" s="42"/>
      <c r="J226" s="42"/>
      <c r="K226" s="42"/>
      <c r="L226" s="42"/>
      <c r="M226" s="42"/>
    </row>
    <row r="227">
      <c r="A227" s="203"/>
      <c r="B227" s="203"/>
      <c r="C227" s="203"/>
      <c r="D227" s="203"/>
      <c r="E227" s="107"/>
      <c r="G227" s="42"/>
      <c r="H227" s="42"/>
      <c r="I227" s="42"/>
      <c r="J227" s="42"/>
      <c r="K227" s="42"/>
      <c r="L227" s="42"/>
      <c r="M227" s="42"/>
    </row>
    <row r="228">
      <c r="A228" s="203"/>
      <c r="B228" s="203"/>
      <c r="C228" s="203"/>
      <c r="D228" s="203"/>
      <c r="E228" s="107"/>
      <c r="G228" s="42"/>
      <c r="H228" s="42"/>
      <c r="I228" s="42"/>
      <c r="J228" s="42"/>
      <c r="K228" s="42"/>
      <c r="L228" s="42"/>
      <c r="M228" s="42"/>
    </row>
    <row r="229">
      <c r="A229" s="203"/>
      <c r="B229" s="203"/>
      <c r="C229" s="203"/>
      <c r="D229" s="203"/>
      <c r="E229" s="107"/>
      <c r="G229" s="42"/>
      <c r="H229" s="42"/>
      <c r="I229" s="42"/>
      <c r="J229" s="42"/>
      <c r="K229" s="42"/>
      <c r="L229" s="42"/>
      <c r="M229" s="42"/>
    </row>
    <row r="230">
      <c r="A230" s="181"/>
      <c r="B230" s="178"/>
      <c r="C230" s="182"/>
      <c r="D230" s="183"/>
      <c r="E230" s="107"/>
      <c r="G230" s="42"/>
      <c r="H230" s="42"/>
      <c r="I230" s="42"/>
      <c r="J230" s="42"/>
      <c r="K230" s="42"/>
      <c r="L230" s="42"/>
      <c r="M230" s="42"/>
    </row>
    <row r="231">
      <c r="A231" s="181"/>
      <c r="B231" s="178"/>
      <c r="C231" s="182"/>
      <c r="D231" s="183"/>
      <c r="E231" s="107"/>
      <c r="G231" s="42"/>
      <c r="H231" s="42"/>
      <c r="I231" s="42"/>
      <c r="J231" s="42"/>
      <c r="K231" s="42"/>
      <c r="L231" s="42"/>
      <c r="M231" s="42"/>
    </row>
    <row r="232">
      <c r="A232" s="181"/>
      <c r="B232" s="178"/>
      <c r="C232" s="182"/>
      <c r="D232" s="183"/>
      <c r="E232" s="107"/>
      <c r="G232" s="42"/>
      <c r="H232" s="42"/>
      <c r="I232" s="42"/>
      <c r="J232" s="42"/>
      <c r="K232" s="42"/>
      <c r="L232" s="42"/>
      <c r="M232" s="42"/>
    </row>
    <row r="233">
      <c r="A233" s="181"/>
      <c r="B233" s="178"/>
      <c r="C233" s="182"/>
      <c r="D233" s="183"/>
      <c r="E233" s="107"/>
      <c r="G233" s="42"/>
      <c r="H233" s="42"/>
      <c r="I233" s="42"/>
      <c r="J233" s="42"/>
      <c r="K233" s="42"/>
      <c r="L233" s="42"/>
      <c r="M233" s="42"/>
    </row>
    <row r="234">
      <c r="A234" s="181"/>
      <c r="B234" s="178"/>
      <c r="C234" s="182"/>
      <c r="D234" s="183"/>
      <c r="E234" s="107"/>
      <c r="G234" s="42"/>
      <c r="H234" s="42"/>
      <c r="I234" s="42"/>
      <c r="J234" s="42"/>
      <c r="K234" s="42"/>
      <c r="L234" s="42"/>
      <c r="M234" s="42"/>
    </row>
    <row r="235">
      <c r="A235" s="181"/>
      <c r="B235" s="178"/>
      <c r="C235" s="182"/>
      <c r="D235" s="183"/>
      <c r="E235" s="107"/>
      <c r="G235" s="42"/>
      <c r="H235" s="42"/>
      <c r="I235" s="42"/>
      <c r="J235" s="42"/>
      <c r="K235" s="42"/>
      <c r="L235" s="42"/>
      <c r="M235" s="42"/>
    </row>
    <row r="236">
      <c r="A236" s="181"/>
      <c r="B236" s="178"/>
      <c r="C236" s="182"/>
      <c r="D236" s="183"/>
      <c r="E236" s="107"/>
      <c r="G236" s="42"/>
      <c r="H236" s="42"/>
      <c r="I236" s="42"/>
      <c r="J236" s="42"/>
      <c r="K236" s="42"/>
      <c r="L236" s="42"/>
      <c r="M236" s="42"/>
    </row>
    <row r="237">
      <c r="A237" s="181"/>
      <c r="B237" s="178"/>
      <c r="C237" s="182"/>
      <c r="D237" s="183"/>
      <c r="E237" s="107"/>
      <c r="G237" s="42"/>
      <c r="H237" s="42"/>
      <c r="I237" s="42"/>
      <c r="J237" s="42"/>
      <c r="K237" s="42"/>
      <c r="L237" s="42"/>
      <c r="M237" s="42"/>
    </row>
    <row r="238">
      <c r="A238" s="181"/>
      <c r="B238" s="178"/>
      <c r="C238" s="182"/>
      <c r="D238" s="183"/>
      <c r="E238" s="107"/>
      <c r="G238" s="42"/>
      <c r="H238" s="42"/>
      <c r="I238" s="42"/>
      <c r="J238" s="42"/>
      <c r="K238" s="42"/>
      <c r="L238" s="42"/>
      <c r="M238" s="42"/>
    </row>
    <row r="239">
      <c r="A239" s="181"/>
      <c r="B239" s="178"/>
      <c r="C239" s="182"/>
      <c r="D239" s="183"/>
      <c r="E239" s="107"/>
      <c r="G239" s="42"/>
      <c r="H239" s="42"/>
      <c r="I239" s="42"/>
      <c r="J239" s="42"/>
      <c r="K239" s="42"/>
      <c r="L239" s="42"/>
      <c r="M239" s="42"/>
    </row>
    <row r="240">
      <c r="A240" s="181"/>
      <c r="B240" s="178"/>
      <c r="C240" s="182"/>
      <c r="D240" s="183"/>
      <c r="E240" s="107"/>
      <c r="G240" s="42"/>
      <c r="H240" s="42"/>
      <c r="I240" s="42"/>
      <c r="J240" s="42"/>
      <c r="K240" s="42"/>
      <c r="L240" s="42"/>
      <c r="M240" s="42"/>
    </row>
    <row r="241">
      <c r="A241" s="181"/>
      <c r="B241" s="178"/>
      <c r="C241" s="182"/>
      <c r="D241" s="183"/>
      <c r="E241" s="107"/>
      <c r="G241" s="42"/>
      <c r="H241" s="42"/>
      <c r="I241" s="42"/>
      <c r="J241" s="42"/>
      <c r="K241" s="42"/>
      <c r="L241" s="42"/>
      <c r="M241" s="42"/>
    </row>
    <row r="242">
      <c r="A242" s="181"/>
      <c r="B242" s="178"/>
      <c r="C242" s="182"/>
      <c r="D242" s="183"/>
      <c r="E242" s="107"/>
      <c r="G242" s="42"/>
      <c r="H242" s="42"/>
      <c r="I242" s="42"/>
      <c r="J242" s="42"/>
      <c r="K242" s="42"/>
      <c r="L242" s="42"/>
      <c r="M242" s="42"/>
    </row>
    <row r="243">
      <c r="A243" s="44"/>
      <c r="B243" s="113"/>
      <c r="C243" s="93"/>
      <c r="D243" s="41"/>
      <c r="E243" s="107"/>
      <c r="G243" s="42"/>
      <c r="H243" s="42"/>
      <c r="I243" s="42"/>
      <c r="J243" s="42"/>
      <c r="K243" s="42"/>
      <c r="L243" s="42"/>
      <c r="M243" s="42"/>
    </row>
    <row r="244">
      <c r="A244" s="44"/>
      <c r="B244" s="113"/>
      <c r="C244" s="93"/>
      <c r="D244" s="41"/>
      <c r="E244" s="107"/>
      <c r="G244" s="42"/>
      <c r="H244" s="42"/>
      <c r="I244" s="42"/>
      <c r="J244" s="42"/>
      <c r="K244" s="42"/>
      <c r="L244" s="42"/>
      <c r="M244" s="42"/>
    </row>
    <row r="245">
      <c r="A245" s="44"/>
      <c r="B245" s="113"/>
      <c r="C245" s="93"/>
      <c r="D245" s="41"/>
      <c r="E245" s="107"/>
      <c r="G245" s="42"/>
      <c r="H245" s="42"/>
      <c r="I245" s="42"/>
      <c r="J245" s="42"/>
      <c r="K245" s="42"/>
      <c r="L245" s="42"/>
      <c r="M245" s="42"/>
    </row>
    <row r="246">
      <c r="A246" s="44"/>
      <c r="B246" s="113"/>
      <c r="C246" s="93"/>
      <c r="D246" s="41"/>
      <c r="E246" s="107"/>
      <c r="G246" s="42"/>
      <c r="H246" s="42"/>
      <c r="I246" s="42"/>
      <c r="J246" s="42"/>
      <c r="K246" s="42"/>
      <c r="L246" s="42"/>
      <c r="M246" s="42"/>
    </row>
  </sheetData>
  <autoFilter ref="$A$31:$D$125">
    <sortState ref="A31:D125">
      <sortCondition descending="1" ref="C31:C125"/>
      <sortCondition ref="A31:A125"/>
    </sortState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7 D32 D36 D52 D58 D68:D69 D132 D135 D137 D139 D142 D147 D149 D153 D156:D157 D162:D164 D167:D168 D170 D173:D178 D180:D183 D185 B30:B188 D187:D189 D196:D201 D205:D207 B190:B210 B230:B246">
      <formula1>'Hidden list and Figures'!$A$3:$A$15</formula1>
    </dataValidation>
    <dataValidation type="custom" allowBlank="1" showDropDown="1" showInputMessage="1" prompt="Select a date" sqref="A32:A48 A50:A52 A55 A57:A60 A62 A64:A95 A102:A105 A110:A210 A230:A246">
      <formula1>OR(NOT(ISERROR(DATEVALUE(A32))), AND(ISNUMBER(A32), LEFT(CELL("format", A32))="D"))</formula1>
    </dataValidation>
    <dataValidation type="list" allowBlank="1" sqref="B189">
      <formula1>'Hidden list and Figures'!$A$3:$A$15</formula1>
    </dataValidation>
  </dataValidations>
  <hyperlinks>
    <hyperlink r:id="rId1" ref="D37"/>
    <hyperlink r:id="rId2" ref="D43"/>
    <hyperlink r:id="rId3" ref="D84"/>
    <hyperlink r:id="rId4" ref="D108"/>
    <hyperlink r:id="rId5" ref="D115"/>
  </hyperlinks>
  <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sumif($B$20:$C$557,A6,$C$20:$C$557)</f>
        <v>1772.356667</v>
      </c>
      <c r="D6" s="17">
        <f t="shared" ref="D6:D16" si="2">B6-C6</f>
        <v>891.3233333</v>
      </c>
      <c r="E6" s="18">
        <f t="shared" ref="E6:E17" si="3">D6/B6</f>
        <v>0.3346210255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3038.0</v>
      </c>
    </row>
    <row r="8">
      <c r="A8" s="21" t="s">
        <v>14</v>
      </c>
      <c r="B8" s="22">
        <v>250.0</v>
      </c>
      <c r="C8" s="16">
        <f t="shared" si="1"/>
        <v>503.66</v>
      </c>
      <c r="D8" s="23">
        <f t="shared" si="2"/>
        <v>-253.66</v>
      </c>
      <c r="E8" s="18">
        <f t="shared" si="3"/>
        <v>-1.01464</v>
      </c>
      <c r="G8" s="64" t="s">
        <v>27</v>
      </c>
      <c r="H8" s="92">
        <f>SUM(H6:H7)</f>
        <v>3038</v>
      </c>
    </row>
    <row r="9">
      <c r="A9" s="24" t="s">
        <v>15</v>
      </c>
      <c r="B9" s="22">
        <v>400.0</v>
      </c>
      <c r="C9" s="16">
        <f t="shared" si="1"/>
        <v>368.33</v>
      </c>
      <c r="D9" s="23">
        <f t="shared" si="2"/>
        <v>31.67</v>
      </c>
      <c r="E9" s="18">
        <f t="shared" si="3"/>
        <v>0.079175</v>
      </c>
    </row>
    <row r="10">
      <c r="A10" s="24" t="s">
        <v>17</v>
      </c>
      <c r="B10" s="22">
        <v>400.0</v>
      </c>
      <c r="C10" s="16">
        <f t="shared" si="1"/>
        <v>664.37</v>
      </c>
      <c r="D10" s="23">
        <f t="shared" si="2"/>
        <v>-264.37</v>
      </c>
      <c r="E10" s="18">
        <f t="shared" si="3"/>
        <v>-0.660925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398.93</v>
      </c>
      <c r="D11" s="23">
        <f t="shared" si="2"/>
        <v>-198.93</v>
      </c>
      <c r="E11" s="18">
        <f t="shared" si="3"/>
        <v>-0.99465</v>
      </c>
      <c r="G11" s="19" t="s">
        <v>18</v>
      </c>
      <c r="H11" s="14">
        <f>sum(C17)</f>
        <v>6048.546667</v>
      </c>
    </row>
    <row r="12">
      <c r="A12" s="24" t="s">
        <v>79</v>
      </c>
      <c r="B12" s="22">
        <v>500.0</v>
      </c>
      <c r="C12" s="16">
        <f t="shared" si="1"/>
        <v>1453.26</v>
      </c>
      <c r="D12" s="23">
        <f t="shared" si="2"/>
        <v>-953.26</v>
      </c>
      <c r="E12" s="18">
        <f t="shared" si="3"/>
        <v>-1.90652</v>
      </c>
      <c r="H12" s="14"/>
    </row>
    <row r="13">
      <c r="A13" s="25" t="s">
        <v>22</v>
      </c>
      <c r="B13" s="22">
        <v>200.0</v>
      </c>
      <c r="C13" s="16">
        <f t="shared" si="1"/>
        <v>257.91</v>
      </c>
      <c r="D13" s="23">
        <f t="shared" si="2"/>
        <v>-57.91</v>
      </c>
      <c r="E13" s="18">
        <f t="shared" si="3"/>
        <v>-0.28955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0</v>
      </c>
      <c r="D14" s="23">
        <f t="shared" si="2"/>
        <v>0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629.73</v>
      </c>
      <c r="D15" s="28">
        <f t="shared" si="2"/>
        <v>-329.73</v>
      </c>
      <c r="E15" s="18">
        <f t="shared" si="3"/>
        <v>-1.0991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SUMIF($B$20:$C$271,"Travel",$C$20:$C$271)</f>
        <v>1453.26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6048.546667</v>
      </c>
      <c r="D17" s="31">
        <f>SUM(D6:D15)</f>
        <v>-1134.866667</v>
      </c>
      <c r="E17" s="18">
        <f t="shared" si="3"/>
        <v>-0.2309606378</v>
      </c>
      <c r="F17" s="36"/>
      <c r="G17" s="13" t="s">
        <v>28</v>
      </c>
      <c r="H17" s="33">
        <f>500-SUMIF($B$20:$C$271,"Travel",$C$20:$C$271)+'April 2024'!H17</f>
        <v>-450.02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90.0</v>
      </c>
      <c r="D21" s="95" t="s">
        <v>36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102">
        <f>460/6</f>
        <v>76.66666667</v>
      </c>
      <c r="D22" s="41" t="s">
        <v>23</v>
      </c>
      <c r="E22" s="41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2.87</v>
      </c>
      <c r="D23" s="41" t="s">
        <v>39</v>
      </c>
      <c r="E23" s="41"/>
      <c r="G23" s="42"/>
      <c r="H23" s="40"/>
      <c r="I23" s="42"/>
      <c r="J23" s="40"/>
      <c r="K23" s="42"/>
      <c r="L23" s="42"/>
      <c r="M23" s="42"/>
    </row>
    <row r="24">
      <c r="A24" s="40" t="s">
        <v>32</v>
      </c>
      <c r="B24" s="40" t="s">
        <v>10</v>
      </c>
      <c r="C24" s="41">
        <v>2.99</v>
      </c>
      <c r="D24" s="41" t="s">
        <v>40</v>
      </c>
      <c r="E24" s="41"/>
      <c r="G24" s="40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5.83</v>
      </c>
      <c r="D25" s="41" t="s">
        <v>41</v>
      </c>
      <c r="E25" s="41"/>
      <c r="G25" s="40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6.0</v>
      </c>
      <c r="D26" s="41" t="s">
        <v>83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112.0</v>
      </c>
      <c r="D27" s="41" t="s">
        <v>42</v>
      </c>
      <c r="E27" s="41"/>
      <c r="G27" s="42"/>
      <c r="H27" s="40"/>
      <c r="I27" s="42"/>
      <c r="J27" s="42"/>
      <c r="K27" s="42"/>
      <c r="L27" s="42"/>
      <c r="M27" s="42"/>
    </row>
    <row r="28">
      <c r="E28" s="41"/>
      <c r="G28" s="40"/>
      <c r="H28" s="42"/>
      <c r="I28" s="42"/>
      <c r="J28" s="42"/>
      <c r="K28" s="42"/>
      <c r="L28" s="42"/>
      <c r="M28" s="42"/>
    </row>
    <row r="29">
      <c r="E29" s="41"/>
      <c r="G29" s="42"/>
      <c r="H29" s="42"/>
      <c r="I29" s="42"/>
      <c r="J29" s="42"/>
      <c r="K29" s="42"/>
      <c r="L29" s="42"/>
      <c r="M29" s="42"/>
    </row>
    <row r="30">
      <c r="A30" s="38" t="s">
        <v>29</v>
      </c>
      <c r="B30" s="38" t="s">
        <v>4</v>
      </c>
      <c r="C30" s="39" t="s">
        <v>30</v>
      </c>
      <c r="D30" s="38" t="s">
        <v>31</v>
      </c>
      <c r="E30" s="41"/>
      <c r="G30" s="40"/>
      <c r="H30" s="42"/>
      <c r="I30" s="42"/>
      <c r="J30" s="42"/>
      <c r="K30" s="42"/>
      <c r="L30" s="42"/>
      <c r="M30" s="42"/>
    </row>
    <row r="31">
      <c r="A31" s="44"/>
      <c r="B31" s="40"/>
      <c r="C31" s="41"/>
      <c r="D31" s="41"/>
      <c r="E31" s="41"/>
      <c r="G31" s="40"/>
      <c r="H31" s="42"/>
      <c r="I31" s="42"/>
      <c r="J31" s="42"/>
      <c r="K31" s="42"/>
      <c r="L31" s="42"/>
      <c r="M31" s="42"/>
    </row>
    <row r="32" ht="18.0" customHeight="1">
      <c r="A32" s="197">
        <v>45778.0</v>
      </c>
      <c r="B32" s="198" t="s">
        <v>15</v>
      </c>
      <c r="C32" s="199">
        <v>36.45</v>
      </c>
      <c r="D32" s="198" t="s">
        <v>1212</v>
      </c>
      <c r="E32" s="137"/>
      <c r="G32" s="42"/>
      <c r="H32" s="42"/>
      <c r="I32" s="42"/>
      <c r="J32" s="42"/>
      <c r="K32" s="42"/>
      <c r="L32" s="42"/>
      <c r="M32" s="42"/>
    </row>
    <row r="33">
      <c r="A33" s="197">
        <v>45778.0</v>
      </c>
      <c r="B33" s="198" t="s">
        <v>17</v>
      </c>
      <c r="C33" s="199">
        <v>0.0</v>
      </c>
      <c r="D33" s="200" t="s">
        <v>1213</v>
      </c>
      <c r="E33" s="137"/>
      <c r="G33" s="42"/>
      <c r="H33" s="42"/>
      <c r="I33" s="42"/>
      <c r="J33" s="42"/>
      <c r="K33" s="42"/>
      <c r="L33" s="42"/>
      <c r="M33" s="42"/>
    </row>
    <row r="34">
      <c r="A34" s="197">
        <v>45779.0</v>
      </c>
      <c r="B34" s="198" t="s">
        <v>17</v>
      </c>
      <c r="C34" s="199">
        <v>0.0</v>
      </c>
      <c r="D34" s="198" t="s">
        <v>1214</v>
      </c>
      <c r="E34" s="137"/>
      <c r="G34" s="42"/>
      <c r="H34" s="42"/>
      <c r="I34" s="42"/>
      <c r="J34" s="42"/>
      <c r="K34" s="42"/>
      <c r="L34" s="42"/>
      <c r="M34" s="42"/>
    </row>
    <row r="35">
      <c r="A35" s="197">
        <v>45779.0</v>
      </c>
      <c r="B35" s="198" t="s">
        <v>17</v>
      </c>
      <c r="C35" s="199">
        <v>0.0</v>
      </c>
      <c r="D35" s="200" t="s">
        <v>1215</v>
      </c>
      <c r="E35" s="137"/>
      <c r="G35" s="42"/>
      <c r="H35" s="42"/>
      <c r="I35" s="42"/>
      <c r="J35" s="42"/>
      <c r="K35" s="42"/>
      <c r="L35" s="42"/>
      <c r="M35" s="42"/>
    </row>
    <row r="36">
      <c r="A36" s="197">
        <v>45779.0</v>
      </c>
      <c r="B36" s="198" t="s">
        <v>17</v>
      </c>
      <c r="C36" s="199">
        <v>0.0</v>
      </c>
      <c r="D36" s="200" t="s">
        <v>1213</v>
      </c>
      <c r="E36" s="137"/>
      <c r="G36" s="42"/>
      <c r="H36" s="42"/>
      <c r="I36" s="42"/>
      <c r="J36" s="42"/>
      <c r="K36" s="42"/>
      <c r="L36" s="42"/>
      <c r="M36" s="42"/>
    </row>
    <row r="37">
      <c r="A37" s="197">
        <v>45779.0</v>
      </c>
      <c r="B37" s="198" t="s">
        <v>22</v>
      </c>
      <c r="C37" s="199">
        <v>2.4</v>
      </c>
      <c r="D37" s="200" t="s">
        <v>1216</v>
      </c>
      <c r="E37" s="137"/>
      <c r="G37" s="42"/>
      <c r="H37" s="42"/>
      <c r="I37" s="42"/>
      <c r="J37" s="42"/>
      <c r="K37" s="42"/>
      <c r="L37" s="42"/>
      <c r="M37" s="42"/>
    </row>
    <row r="38">
      <c r="A38" s="197">
        <v>45779.0</v>
      </c>
      <c r="B38" s="198" t="s">
        <v>22</v>
      </c>
      <c r="C38" s="199">
        <v>2.4</v>
      </c>
      <c r="D38" s="200" t="s">
        <v>1216</v>
      </c>
      <c r="E38" s="137"/>
      <c r="G38" s="42"/>
      <c r="H38" s="42"/>
      <c r="I38" s="42"/>
      <c r="J38" s="42"/>
      <c r="K38" s="42"/>
      <c r="L38" s="42"/>
      <c r="M38" s="42"/>
    </row>
    <row r="39">
      <c r="A39" s="197">
        <v>45779.0</v>
      </c>
      <c r="B39" s="198" t="s">
        <v>15</v>
      </c>
      <c r="C39" s="199">
        <v>58.02</v>
      </c>
      <c r="D39" s="200" t="s">
        <v>1217</v>
      </c>
      <c r="E39" s="137"/>
      <c r="G39" s="42"/>
      <c r="H39" s="42"/>
      <c r="I39" s="42"/>
      <c r="J39" s="42"/>
      <c r="K39" s="42"/>
      <c r="L39" s="42"/>
      <c r="M39" s="42"/>
    </row>
    <row r="40">
      <c r="A40" s="197">
        <v>45779.0</v>
      </c>
      <c r="B40" s="198" t="s">
        <v>17</v>
      </c>
      <c r="C40" s="199">
        <v>8.69</v>
      </c>
      <c r="D40" s="200" t="s">
        <v>1167</v>
      </c>
      <c r="E40" s="164"/>
      <c r="G40" s="42"/>
      <c r="H40" s="42"/>
      <c r="I40" s="42"/>
      <c r="J40" s="42"/>
      <c r="K40" s="42"/>
      <c r="L40" s="42"/>
      <c r="M40" s="42"/>
    </row>
    <row r="41">
      <c r="A41" s="197">
        <v>45781.0</v>
      </c>
      <c r="B41" s="198" t="s">
        <v>15</v>
      </c>
      <c r="C41" s="199">
        <v>27.86</v>
      </c>
      <c r="D41" s="200" t="s">
        <v>1218</v>
      </c>
      <c r="E41" s="137"/>
      <c r="G41" s="42"/>
      <c r="H41" s="42"/>
      <c r="I41" s="42"/>
      <c r="J41" s="42"/>
      <c r="K41" s="42"/>
      <c r="L41" s="42"/>
      <c r="M41" s="42"/>
    </row>
    <row r="42">
      <c r="A42" s="197">
        <v>45781.0</v>
      </c>
      <c r="B42" s="198" t="s">
        <v>17</v>
      </c>
      <c r="C42" s="199">
        <v>15.52</v>
      </c>
      <c r="D42" s="200" t="s">
        <v>1219</v>
      </c>
      <c r="E42" s="137"/>
      <c r="G42" s="42"/>
      <c r="H42" s="42"/>
      <c r="I42" s="42"/>
      <c r="J42" s="42"/>
      <c r="K42" s="42"/>
      <c r="L42" s="42"/>
      <c r="M42" s="42"/>
    </row>
    <row r="43">
      <c r="A43" s="197">
        <v>45781.0</v>
      </c>
      <c r="B43" s="198" t="s">
        <v>17</v>
      </c>
      <c r="C43" s="199">
        <v>33.99</v>
      </c>
      <c r="D43" s="200" t="s">
        <v>1220</v>
      </c>
      <c r="E43" s="137"/>
      <c r="G43" s="42"/>
      <c r="H43" s="42"/>
      <c r="I43" s="42"/>
      <c r="J43" s="42"/>
      <c r="K43" s="42"/>
      <c r="L43" s="42"/>
      <c r="M43" s="42"/>
    </row>
    <row r="44">
      <c r="A44" s="197">
        <v>45781.0</v>
      </c>
      <c r="B44" s="198" t="s">
        <v>15</v>
      </c>
      <c r="C44" s="199">
        <v>18.21</v>
      </c>
      <c r="D44" s="200" t="s">
        <v>1221</v>
      </c>
      <c r="E44" s="137"/>
      <c r="G44" s="42"/>
      <c r="H44" s="42"/>
      <c r="I44" s="42"/>
      <c r="J44" s="42"/>
      <c r="K44" s="42"/>
      <c r="L44" s="42"/>
      <c r="M44" s="42"/>
    </row>
    <row r="45">
      <c r="A45" s="197">
        <v>45781.0</v>
      </c>
      <c r="B45" s="198" t="s">
        <v>79</v>
      </c>
      <c r="C45" s="199">
        <v>14.0</v>
      </c>
      <c r="D45" s="200" t="s">
        <v>1114</v>
      </c>
      <c r="E45" s="137"/>
      <c r="G45" s="42"/>
      <c r="H45" s="42"/>
      <c r="I45" s="42"/>
      <c r="J45" s="42"/>
      <c r="K45" s="42"/>
      <c r="L45" s="42"/>
      <c r="M45" s="42"/>
    </row>
    <row r="46">
      <c r="A46" s="206">
        <v>45782.0</v>
      </c>
      <c r="B46" s="198" t="s">
        <v>15</v>
      </c>
      <c r="C46" s="199">
        <v>44.01</v>
      </c>
      <c r="D46" s="200" t="s">
        <v>1222</v>
      </c>
      <c r="E46" s="107"/>
      <c r="G46" s="42"/>
      <c r="H46" s="42"/>
      <c r="I46" s="42"/>
      <c r="J46" s="42"/>
      <c r="K46" s="42"/>
      <c r="L46" s="42"/>
      <c r="M46" s="42"/>
    </row>
    <row r="47">
      <c r="A47" s="197">
        <v>45782.0</v>
      </c>
      <c r="B47" s="198" t="s">
        <v>25</v>
      </c>
      <c r="C47" s="199">
        <v>251.73</v>
      </c>
      <c r="D47" s="200" t="s">
        <v>1223</v>
      </c>
      <c r="E47" s="107"/>
      <c r="G47" s="42"/>
      <c r="H47" s="42"/>
      <c r="I47" s="42"/>
      <c r="J47" s="42"/>
      <c r="K47" s="42"/>
      <c r="L47" s="42"/>
      <c r="M47" s="42"/>
    </row>
    <row r="48">
      <c r="A48" s="197">
        <v>45783.0</v>
      </c>
      <c r="B48" s="198" t="s">
        <v>22</v>
      </c>
      <c r="C48" s="199">
        <v>2.4</v>
      </c>
      <c r="D48" s="198" t="s">
        <v>1216</v>
      </c>
      <c r="E48" s="107"/>
      <c r="G48" s="42"/>
      <c r="H48" s="42"/>
      <c r="I48" s="42"/>
      <c r="J48" s="42"/>
      <c r="K48" s="42"/>
      <c r="L48" s="42"/>
      <c r="M48" s="42"/>
    </row>
    <row r="49">
      <c r="A49" s="207">
        <v>45783.0</v>
      </c>
      <c r="B49" s="198" t="s">
        <v>79</v>
      </c>
      <c r="C49" s="208">
        <v>356.04</v>
      </c>
      <c r="D49" s="198" t="s">
        <v>1224</v>
      </c>
      <c r="E49" s="107"/>
      <c r="G49" s="42"/>
      <c r="H49" s="42"/>
      <c r="I49" s="42"/>
      <c r="J49" s="42"/>
      <c r="K49" s="42"/>
      <c r="L49" s="42"/>
      <c r="M49" s="42"/>
    </row>
    <row r="50">
      <c r="A50" s="207">
        <v>45784.0</v>
      </c>
      <c r="B50" s="198" t="s">
        <v>17</v>
      </c>
      <c r="C50" s="208">
        <v>240.41</v>
      </c>
      <c r="D50" s="198" t="s">
        <v>1225</v>
      </c>
      <c r="E50" s="107"/>
      <c r="G50" s="42"/>
      <c r="H50" s="42"/>
      <c r="I50" s="42"/>
      <c r="J50" s="42"/>
      <c r="K50" s="42"/>
      <c r="L50" s="42"/>
      <c r="M50" s="42"/>
    </row>
    <row r="51">
      <c r="A51" s="197">
        <v>45784.0</v>
      </c>
      <c r="B51" s="198" t="s">
        <v>79</v>
      </c>
      <c r="C51" s="199">
        <f>5062.2/10+220</f>
        <v>726.22</v>
      </c>
      <c r="D51" s="200" t="s">
        <v>1226</v>
      </c>
      <c r="E51" s="107"/>
      <c r="G51" s="42"/>
      <c r="H51" s="42"/>
      <c r="I51" s="42"/>
      <c r="J51" s="42"/>
      <c r="K51" s="42"/>
      <c r="L51" s="42"/>
      <c r="M51" s="42"/>
    </row>
    <row r="52">
      <c r="A52" s="207">
        <v>45784.0</v>
      </c>
      <c r="B52" s="198" t="s">
        <v>25</v>
      </c>
      <c r="C52" s="208">
        <v>273.57</v>
      </c>
      <c r="D52" s="198" t="s">
        <v>1227</v>
      </c>
      <c r="E52" s="107"/>
      <c r="G52" s="42"/>
      <c r="H52" s="42"/>
      <c r="I52" s="42"/>
      <c r="J52" s="42"/>
      <c r="K52" s="42"/>
      <c r="L52" s="42"/>
      <c r="M52" s="42"/>
    </row>
    <row r="53">
      <c r="A53" s="197">
        <v>45785.0</v>
      </c>
      <c r="B53" s="198" t="s">
        <v>17</v>
      </c>
      <c r="C53" s="199">
        <v>7.74</v>
      </c>
      <c r="D53" s="200" t="s">
        <v>1228</v>
      </c>
      <c r="E53" s="107"/>
      <c r="G53" s="42"/>
      <c r="H53" s="42"/>
      <c r="I53" s="42"/>
      <c r="J53" s="42"/>
      <c r="K53" s="42"/>
      <c r="L53" s="42"/>
      <c r="M53" s="42"/>
    </row>
    <row r="54">
      <c r="A54" s="197">
        <v>45786.0</v>
      </c>
      <c r="B54" s="198" t="s">
        <v>25</v>
      </c>
      <c r="C54" s="199">
        <v>31.0</v>
      </c>
      <c r="D54" s="200" t="s">
        <v>1229</v>
      </c>
      <c r="E54" s="107"/>
      <c r="G54" s="42"/>
      <c r="H54" s="42"/>
      <c r="I54" s="42"/>
      <c r="J54" s="42"/>
      <c r="K54" s="42"/>
      <c r="L54" s="42"/>
      <c r="M54" s="42"/>
    </row>
    <row r="55">
      <c r="A55" s="197">
        <v>45786.0</v>
      </c>
      <c r="B55" s="198" t="s">
        <v>22</v>
      </c>
      <c r="C55" s="199">
        <v>7.76</v>
      </c>
      <c r="D55" s="200" t="s">
        <v>1230</v>
      </c>
      <c r="E55" s="107"/>
      <c r="G55" s="42"/>
      <c r="H55" s="42"/>
      <c r="I55" s="42"/>
      <c r="J55" s="42"/>
      <c r="K55" s="42"/>
      <c r="L55" s="42"/>
      <c r="M55" s="42"/>
    </row>
    <row r="56">
      <c r="A56" s="207">
        <v>45786.0</v>
      </c>
      <c r="B56" s="198" t="s">
        <v>17</v>
      </c>
      <c r="C56" s="208">
        <v>19.25</v>
      </c>
      <c r="D56" s="198" t="s">
        <v>1231</v>
      </c>
      <c r="E56" s="107"/>
      <c r="G56" s="42"/>
      <c r="H56" s="42"/>
      <c r="I56" s="42"/>
      <c r="J56" s="42"/>
      <c r="K56" s="42"/>
      <c r="L56" s="42"/>
      <c r="M56" s="42"/>
    </row>
    <row r="57">
      <c r="A57" s="207">
        <v>45786.0</v>
      </c>
      <c r="B57" s="198" t="s">
        <v>22</v>
      </c>
      <c r="C57" s="208">
        <v>7.76</v>
      </c>
      <c r="D57" s="198" t="s">
        <v>1230</v>
      </c>
      <c r="E57" s="107"/>
      <c r="G57" s="42"/>
      <c r="H57" s="42"/>
      <c r="I57" s="42"/>
      <c r="J57" s="42"/>
      <c r="K57" s="42"/>
      <c r="L57" s="42"/>
      <c r="M57" s="42"/>
    </row>
    <row r="58">
      <c r="A58" s="197">
        <v>45788.0</v>
      </c>
      <c r="B58" s="198" t="s">
        <v>17</v>
      </c>
      <c r="C58" s="199">
        <v>11.01</v>
      </c>
      <c r="D58" s="200" t="s">
        <v>1232</v>
      </c>
      <c r="E58" s="107"/>
      <c r="G58" s="42"/>
      <c r="H58" s="42"/>
      <c r="I58" s="42"/>
      <c r="J58" s="42"/>
      <c r="K58" s="42"/>
      <c r="L58" s="42"/>
      <c r="M58" s="42"/>
    </row>
    <row r="59">
      <c r="A59" s="207">
        <v>45788.0</v>
      </c>
      <c r="B59" s="198" t="s">
        <v>22</v>
      </c>
      <c r="C59" s="208">
        <v>6.0</v>
      </c>
      <c r="D59" s="198" t="s">
        <v>1233</v>
      </c>
      <c r="E59" s="107"/>
      <c r="G59" s="42"/>
      <c r="H59" s="42"/>
      <c r="I59" s="42"/>
      <c r="J59" s="42"/>
      <c r="K59" s="42"/>
      <c r="L59" s="42"/>
      <c r="M59" s="42"/>
    </row>
    <row r="60">
      <c r="A60" s="197">
        <v>45788.0</v>
      </c>
      <c r="B60" s="198" t="s">
        <v>17</v>
      </c>
      <c r="C60" s="199">
        <v>9.99</v>
      </c>
      <c r="D60" s="200" t="s">
        <v>1234</v>
      </c>
      <c r="E60" s="107"/>
      <c r="G60" s="42"/>
      <c r="H60" s="42"/>
      <c r="I60" s="42"/>
      <c r="J60" s="42"/>
      <c r="K60" s="42"/>
      <c r="L60" s="42"/>
      <c r="M60" s="42"/>
    </row>
    <row r="61">
      <c r="A61" s="197">
        <v>45788.0</v>
      </c>
      <c r="B61" s="198" t="s">
        <v>15</v>
      </c>
      <c r="C61" s="199">
        <v>40.1</v>
      </c>
      <c r="D61" s="200" t="s">
        <v>1235</v>
      </c>
      <c r="E61" s="107"/>
      <c r="G61" s="42"/>
      <c r="H61" s="42"/>
      <c r="I61" s="42"/>
      <c r="J61" s="42"/>
      <c r="K61" s="42"/>
      <c r="L61" s="42"/>
      <c r="M61" s="42"/>
    </row>
    <row r="62">
      <c r="A62" s="197">
        <v>45788.0</v>
      </c>
      <c r="B62" s="198" t="s">
        <v>19</v>
      </c>
      <c r="C62" s="199">
        <v>1.25</v>
      </c>
      <c r="D62" s="200" t="s">
        <v>807</v>
      </c>
      <c r="E62" s="107"/>
      <c r="G62" s="42"/>
      <c r="H62" s="42"/>
      <c r="I62" s="42"/>
      <c r="J62" s="42"/>
      <c r="K62" s="42"/>
      <c r="L62" s="42"/>
      <c r="M62" s="42"/>
    </row>
    <row r="63">
      <c r="A63" s="197">
        <v>45788.0</v>
      </c>
      <c r="B63" s="198" t="s">
        <v>19</v>
      </c>
      <c r="C63" s="199">
        <v>1.25</v>
      </c>
      <c r="D63" s="200" t="s">
        <v>807</v>
      </c>
      <c r="E63" s="107"/>
      <c r="G63" s="42"/>
      <c r="H63" s="42"/>
      <c r="I63" s="42"/>
      <c r="J63" s="42"/>
      <c r="K63" s="42"/>
      <c r="L63" s="42"/>
      <c r="M63" s="42"/>
    </row>
    <row r="64">
      <c r="A64" s="197">
        <v>45788.0</v>
      </c>
      <c r="B64" s="198" t="s">
        <v>19</v>
      </c>
      <c r="C64" s="199">
        <v>1.25</v>
      </c>
      <c r="D64" s="198" t="s">
        <v>807</v>
      </c>
      <c r="E64" s="107"/>
      <c r="G64" s="42"/>
      <c r="H64" s="42"/>
      <c r="I64" s="42"/>
      <c r="J64" s="42"/>
      <c r="K64" s="42"/>
      <c r="L64" s="42"/>
      <c r="M64" s="42"/>
    </row>
    <row r="65">
      <c r="A65" s="197">
        <v>45788.0</v>
      </c>
      <c r="B65" s="198" t="s">
        <v>19</v>
      </c>
      <c r="C65" s="199">
        <v>1.25</v>
      </c>
      <c r="D65" s="209" t="s">
        <v>807</v>
      </c>
      <c r="E65" s="107"/>
      <c r="G65" s="42"/>
      <c r="H65" s="42"/>
      <c r="I65" s="42"/>
      <c r="J65" s="42"/>
      <c r="K65" s="42"/>
      <c r="L65" s="42"/>
      <c r="M65" s="42"/>
    </row>
    <row r="66">
      <c r="A66" s="197">
        <v>45788.0</v>
      </c>
      <c r="B66" s="198" t="s">
        <v>19</v>
      </c>
      <c r="C66" s="199">
        <v>1.25</v>
      </c>
      <c r="D66" s="200" t="s">
        <v>807</v>
      </c>
      <c r="E66" s="107"/>
      <c r="G66" s="42"/>
      <c r="H66" s="42"/>
      <c r="I66" s="42"/>
      <c r="J66" s="42"/>
      <c r="K66" s="42"/>
      <c r="L66" s="42"/>
      <c r="M66" s="42"/>
    </row>
    <row r="67">
      <c r="A67" s="197">
        <v>45788.0</v>
      </c>
      <c r="B67" s="198" t="s">
        <v>19</v>
      </c>
      <c r="C67" s="199">
        <v>1.25</v>
      </c>
      <c r="D67" s="200" t="s">
        <v>807</v>
      </c>
      <c r="E67" s="107"/>
      <c r="G67" s="42"/>
      <c r="H67" s="42"/>
      <c r="I67" s="42"/>
      <c r="J67" s="42"/>
      <c r="K67" s="42"/>
      <c r="L67" s="42"/>
      <c r="M67" s="42"/>
    </row>
    <row r="68">
      <c r="A68" s="197">
        <v>45788.0</v>
      </c>
      <c r="B68" s="198" t="s">
        <v>19</v>
      </c>
      <c r="C68" s="199">
        <v>1.25</v>
      </c>
      <c r="D68" s="200" t="s">
        <v>807</v>
      </c>
      <c r="E68" s="107"/>
      <c r="G68" s="42"/>
      <c r="H68" s="42"/>
      <c r="I68" s="42"/>
      <c r="J68" s="42"/>
      <c r="K68" s="42"/>
      <c r="L68" s="42"/>
      <c r="M68" s="42"/>
    </row>
    <row r="69">
      <c r="A69" s="197">
        <v>45788.0</v>
      </c>
      <c r="B69" s="198" t="s">
        <v>22</v>
      </c>
      <c r="C69" s="199">
        <v>5.09</v>
      </c>
      <c r="D69" s="200" t="s">
        <v>1230</v>
      </c>
      <c r="E69" s="107"/>
      <c r="G69" s="42"/>
      <c r="H69" s="42"/>
      <c r="I69" s="42"/>
      <c r="J69" s="42"/>
      <c r="K69" s="42"/>
      <c r="L69" s="42"/>
      <c r="M69" s="42"/>
    </row>
    <row r="70">
      <c r="A70" s="197">
        <v>45788.0</v>
      </c>
      <c r="B70" s="198" t="s">
        <v>22</v>
      </c>
      <c r="C70" s="199">
        <v>15.18</v>
      </c>
      <c r="D70" s="200" t="s">
        <v>1230</v>
      </c>
      <c r="E70" s="107"/>
      <c r="G70" s="42"/>
      <c r="H70" s="42"/>
      <c r="I70" s="42"/>
      <c r="J70" s="42"/>
      <c r="K70" s="42"/>
      <c r="L70" s="42"/>
      <c r="M70" s="42"/>
    </row>
    <row r="71">
      <c r="A71" s="197">
        <v>45788.0</v>
      </c>
      <c r="B71" s="198" t="s">
        <v>22</v>
      </c>
      <c r="C71" s="199">
        <v>15.18</v>
      </c>
      <c r="D71" s="200" t="s">
        <v>1230</v>
      </c>
      <c r="E71" s="107"/>
      <c r="G71" s="42"/>
      <c r="H71" s="42"/>
      <c r="I71" s="42"/>
      <c r="J71" s="42"/>
      <c r="K71" s="42"/>
      <c r="L71" s="42"/>
      <c r="M71" s="42"/>
    </row>
    <row r="72" ht="18.75" customHeight="1">
      <c r="A72" s="197">
        <v>45788.0</v>
      </c>
      <c r="B72" s="198" t="s">
        <v>22</v>
      </c>
      <c r="C72" s="199">
        <v>7.68</v>
      </c>
      <c r="D72" s="200" t="s">
        <v>1230</v>
      </c>
      <c r="E72" s="107"/>
      <c r="G72" s="42"/>
      <c r="H72" s="42"/>
      <c r="I72" s="42"/>
      <c r="J72" s="42"/>
      <c r="K72" s="42"/>
      <c r="L72" s="42"/>
      <c r="M72" s="42"/>
    </row>
    <row r="73">
      <c r="A73" s="197">
        <v>45788.0</v>
      </c>
      <c r="B73" s="198" t="s">
        <v>19</v>
      </c>
      <c r="C73" s="199">
        <v>129.75</v>
      </c>
      <c r="D73" s="200" t="s">
        <v>1236</v>
      </c>
      <c r="E73" s="107"/>
      <c r="G73" s="42"/>
      <c r="H73" s="42"/>
      <c r="I73" s="42"/>
      <c r="J73" s="42"/>
      <c r="K73" s="42"/>
      <c r="L73" s="42"/>
      <c r="M73" s="42"/>
    </row>
    <row r="74">
      <c r="A74" s="197">
        <v>45788.0</v>
      </c>
      <c r="B74" s="198" t="s">
        <v>17</v>
      </c>
      <c r="C74" s="199">
        <v>24.55</v>
      </c>
      <c r="D74" s="200" t="s">
        <v>1237</v>
      </c>
      <c r="E74" s="107"/>
      <c r="G74" s="42"/>
      <c r="H74" s="42"/>
      <c r="I74" s="42"/>
      <c r="J74" s="42"/>
      <c r="K74" s="42"/>
      <c r="L74" s="42"/>
      <c r="M74" s="42"/>
    </row>
    <row r="75">
      <c r="A75" s="197">
        <v>45788.0</v>
      </c>
      <c r="B75" s="198" t="s">
        <v>17</v>
      </c>
      <c r="C75" s="199">
        <v>33.57</v>
      </c>
      <c r="D75" s="200" t="s">
        <v>1238</v>
      </c>
      <c r="E75" s="107"/>
      <c r="G75" s="42"/>
      <c r="H75" s="42"/>
      <c r="I75" s="42"/>
      <c r="J75" s="42"/>
      <c r="K75" s="42"/>
      <c r="L75" s="42"/>
      <c r="M75" s="42"/>
    </row>
    <row r="76">
      <c r="A76" s="197">
        <v>45788.0</v>
      </c>
      <c r="B76" s="198" t="s">
        <v>22</v>
      </c>
      <c r="C76" s="199">
        <v>0.82</v>
      </c>
      <c r="D76" s="200" t="s">
        <v>1230</v>
      </c>
      <c r="E76" s="107"/>
      <c r="G76" s="42"/>
      <c r="H76" s="42"/>
      <c r="I76" s="42"/>
      <c r="J76" s="42"/>
      <c r="K76" s="42"/>
      <c r="L76" s="42"/>
      <c r="M76" s="42"/>
    </row>
    <row r="77">
      <c r="A77" s="197">
        <v>45788.0</v>
      </c>
      <c r="B77" s="198" t="s">
        <v>22</v>
      </c>
      <c r="C77" s="199">
        <v>15.17</v>
      </c>
      <c r="D77" s="200" t="s">
        <v>1230</v>
      </c>
      <c r="E77" s="107"/>
      <c r="G77" s="42"/>
      <c r="H77" s="42"/>
      <c r="I77" s="42"/>
      <c r="J77" s="42"/>
      <c r="K77" s="42"/>
      <c r="L77" s="42"/>
      <c r="M77" s="42"/>
    </row>
    <row r="78">
      <c r="A78" s="197">
        <v>45789.0</v>
      </c>
      <c r="B78" s="198" t="s">
        <v>17</v>
      </c>
      <c r="C78" s="199">
        <v>17.63</v>
      </c>
      <c r="D78" s="200" t="s">
        <v>1239</v>
      </c>
      <c r="E78" s="107"/>
      <c r="G78" s="42"/>
      <c r="H78" s="42"/>
      <c r="I78" s="42"/>
      <c r="J78" s="42"/>
      <c r="K78" s="42"/>
      <c r="L78" s="42"/>
      <c r="M78" s="42"/>
    </row>
    <row r="79">
      <c r="A79" s="197">
        <v>45789.0</v>
      </c>
      <c r="B79" s="198" t="s">
        <v>17</v>
      </c>
      <c r="C79" s="199">
        <v>32.45</v>
      </c>
      <c r="D79" s="200" t="s">
        <v>1240</v>
      </c>
      <c r="E79" s="107"/>
      <c r="G79" s="42"/>
      <c r="H79" s="42"/>
      <c r="I79" s="42"/>
      <c r="J79" s="42"/>
      <c r="K79" s="42"/>
      <c r="L79" s="42"/>
      <c r="M79" s="42"/>
    </row>
    <row r="80">
      <c r="A80" s="197">
        <v>45790.0</v>
      </c>
      <c r="B80" s="198" t="s">
        <v>19</v>
      </c>
      <c r="C80" s="199">
        <v>13.32</v>
      </c>
      <c r="D80" s="200" t="s">
        <v>1241</v>
      </c>
      <c r="E80" s="107"/>
      <c r="G80" s="42"/>
      <c r="H80" s="42"/>
      <c r="I80" s="42"/>
      <c r="J80" s="42"/>
      <c r="K80" s="42"/>
      <c r="L80" s="42"/>
      <c r="M80" s="42"/>
    </row>
    <row r="81">
      <c r="A81" s="197">
        <v>45791.0</v>
      </c>
      <c r="B81" s="198" t="s">
        <v>22</v>
      </c>
      <c r="C81" s="199">
        <v>8.5</v>
      </c>
      <c r="D81" s="200" t="s">
        <v>1242</v>
      </c>
      <c r="E81" s="107"/>
      <c r="G81" s="42"/>
      <c r="H81" s="42"/>
      <c r="I81" s="42"/>
      <c r="J81" s="42"/>
      <c r="K81" s="42"/>
      <c r="L81" s="42"/>
      <c r="M81" s="42"/>
    </row>
    <row r="82">
      <c r="A82" s="197">
        <v>45791.0</v>
      </c>
      <c r="B82" s="198" t="s">
        <v>22</v>
      </c>
      <c r="C82" s="199">
        <v>28.58</v>
      </c>
      <c r="D82" s="200" t="s">
        <v>1242</v>
      </c>
      <c r="E82" s="107"/>
      <c r="G82" s="42"/>
      <c r="H82" s="42"/>
      <c r="I82" s="42"/>
      <c r="J82" s="42"/>
      <c r="K82" s="42"/>
      <c r="L82" s="42"/>
      <c r="M82" s="42"/>
    </row>
    <row r="83">
      <c r="A83" s="197">
        <v>45791.0</v>
      </c>
      <c r="B83" s="198" t="s">
        <v>14</v>
      </c>
      <c r="C83" s="199">
        <v>35.77</v>
      </c>
      <c r="D83" s="200" t="s">
        <v>1180</v>
      </c>
      <c r="E83" s="107"/>
      <c r="G83" s="42"/>
      <c r="H83" s="42"/>
      <c r="I83" s="42"/>
      <c r="J83" s="42"/>
      <c r="K83" s="42"/>
      <c r="L83" s="42"/>
      <c r="M83" s="42"/>
    </row>
    <row r="84">
      <c r="A84" s="197">
        <v>45791.0</v>
      </c>
      <c r="B84" s="198" t="s">
        <v>14</v>
      </c>
      <c r="C84" s="199">
        <v>32.87</v>
      </c>
      <c r="D84" s="200" t="s">
        <v>1180</v>
      </c>
      <c r="E84" s="107"/>
      <c r="G84" s="42"/>
      <c r="H84" s="42"/>
      <c r="I84" s="42"/>
      <c r="J84" s="42"/>
      <c r="K84" s="42"/>
      <c r="L84" s="42"/>
      <c r="M84" s="42"/>
    </row>
    <row r="85">
      <c r="A85" s="197">
        <v>45791.0</v>
      </c>
      <c r="B85" s="198" t="s">
        <v>14</v>
      </c>
      <c r="C85" s="199">
        <v>38.53</v>
      </c>
      <c r="D85" s="200" t="s">
        <v>1180</v>
      </c>
      <c r="E85" s="107"/>
      <c r="G85" s="42"/>
      <c r="H85" s="42"/>
      <c r="I85" s="42"/>
      <c r="J85" s="42"/>
      <c r="K85" s="42"/>
      <c r="L85" s="42"/>
      <c r="M85" s="42"/>
    </row>
    <row r="86">
      <c r="A86" s="197">
        <v>45791.0</v>
      </c>
      <c r="B86" s="198" t="s">
        <v>15</v>
      </c>
      <c r="C86" s="199">
        <v>22.4</v>
      </c>
      <c r="D86" s="200" t="s">
        <v>1243</v>
      </c>
      <c r="E86" s="107"/>
      <c r="G86" s="42"/>
      <c r="H86" s="42"/>
      <c r="I86" s="42"/>
      <c r="J86" s="42"/>
      <c r="K86" s="42"/>
      <c r="L86" s="42"/>
      <c r="M86" s="42"/>
    </row>
    <row r="87">
      <c r="A87" s="197">
        <v>45791.0</v>
      </c>
      <c r="B87" s="198" t="s">
        <v>17</v>
      </c>
      <c r="C87" s="199">
        <v>9.01</v>
      </c>
      <c r="D87" s="200" t="s">
        <v>1167</v>
      </c>
      <c r="E87" s="107"/>
      <c r="G87" s="42"/>
      <c r="H87" s="42"/>
      <c r="I87" s="42"/>
      <c r="J87" s="42"/>
      <c r="K87" s="42"/>
      <c r="L87" s="42"/>
      <c r="M87" s="42"/>
    </row>
    <row r="88">
      <c r="A88" s="197">
        <v>45792.0</v>
      </c>
      <c r="B88" s="198" t="s">
        <v>17</v>
      </c>
      <c r="C88" s="199">
        <v>4.23</v>
      </c>
      <c r="D88" s="200" t="s">
        <v>1117</v>
      </c>
      <c r="E88" s="107"/>
      <c r="G88" s="42"/>
      <c r="H88" s="42"/>
      <c r="I88" s="42"/>
      <c r="J88" s="42"/>
      <c r="K88" s="42"/>
      <c r="L88" s="42"/>
      <c r="M88" s="42"/>
    </row>
    <row r="89">
      <c r="A89" s="197">
        <v>45792.0</v>
      </c>
      <c r="B89" s="198" t="s">
        <v>19</v>
      </c>
      <c r="C89" s="199">
        <v>1.25</v>
      </c>
      <c r="D89" s="200" t="s">
        <v>807</v>
      </c>
      <c r="E89" s="107"/>
      <c r="G89" s="42"/>
      <c r="H89" s="42"/>
      <c r="I89" s="42"/>
      <c r="J89" s="42"/>
      <c r="K89" s="42"/>
      <c r="L89" s="42"/>
      <c r="M89" s="42"/>
    </row>
    <row r="90">
      <c r="A90" s="197">
        <v>45792.0</v>
      </c>
      <c r="B90" s="198" t="s">
        <v>19</v>
      </c>
      <c r="C90" s="199">
        <v>1.25</v>
      </c>
      <c r="D90" s="200" t="s">
        <v>807</v>
      </c>
      <c r="E90" s="107"/>
      <c r="G90" s="42"/>
      <c r="H90" s="42"/>
      <c r="I90" s="42"/>
      <c r="J90" s="42"/>
      <c r="K90" s="42"/>
      <c r="L90" s="42"/>
      <c r="M90" s="42"/>
    </row>
    <row r="91">
      <c r="A91" s="212">
        <v>45786.0</v>
      </c>
      <c r="B91" s="184" t="s">
        <v>14</v>
      </c>
      <c r="C91" s="199">
        <v>11.52</v>
      </c>
      <c r="D91" s="200" t="s">
        <v>1211</v>
      </c>
      <c r="E91" s="107"/>
      <c r="G91" s="42"/>
      <c r="H91" s="42"/>
      <c r="I91" s="42"/>
      <c r="J91" s="42"/>
      <c r="K91" s="42"/>
      <c r="L91" s="42"/>
      <c r="M91" s="42"/>
    </row>
    <row r="92">
      <c r="A92" s="215">
        <v>45781.0</v>
      </c>
      <c r="B92" s="184" t="s">
        <v>19</v>
      </c>
      <c r="C92" s="208">
        <v>69.71</v>
      </c>
      <c r="D92" s="198" t="s">
        <v>1244</v>
      </c>
      <c r="E92" s="132"/>
      <c r="G92" s="42"/>
      <c r="H92" s="42"/>
      <c r="I92" s="42"/>
      <c r="J92" s="42"/>
      <c r="K92" s="42"/>
      <c r="L92" s="42"/>
      <c r="M92" s="42"/>
    </row>
    <row r="93">
      <c r="A93" s="210">
        <v>45795.0</v>
      </c>
      <c r="B93" s="198" t="s">
        <v>1245</v>
      </c>
      <c r="C93" s="208">
        <v>17.01</v>
      </c>
      <c r="D93" s="198" t="s">
        <v>1246</v>
      </c>
      <c r="G93" s="42"/>
      <c r="H93" s="42"/>
      <c r="I93" s="42"/>
      <c r="J93" s="42"/>
      <c r="K93" s="42"/>
      <c r="L93" s="42"/>
      <c r="M93" s="42"/>
    </row>
    <row r="94">
      <c r="A94" s="210">
        <v>45796.0</v>
      </c>
      <c r="B94" s="198" t="s">
        <v>1245</v>
      </c>
      <c r="C94" s="208">
        <v>41.28</v>
      </c>
      <c r="D94" s="198" t="s">
        <v>1247</v>
      </c>
      <c r="G94" s="42"/>
      <c r="H94" s="42"/>
      <c r="I94" s="42"/>
      <c r="J94" s="42"/>
      <c r="K94" s="42"/>
      <c r="L94" s="42"/>
      <c r="M94" s="42"/>
    </row>
    <row r="95">
      <c r="A95" s="210">
        <v>45796.0</v>
      </c>
      <c r="B95" s="198" t="s">
        <v>1245</v>
      </c>
      <c r="C95" s="208">
        <v>46.95</v>
      </c>
      <c r="D95" s="198" t="s">
        <v>1248</v>
      </c>
      <c r="G95" s="42"/>
      <c r="H95" s="42"/>
      <c r="I95" s="42"/>
      <c r="J95" s="42"/>
      <c r="K95" s="42"/>
      <c r="L95" s="42"/>
      <c r="M95" s="42"/>
    </row>
    <row r="96">
      <c r="A96" s="210">
        <v>45797.0</v>
      </c>
      <c r="B96" s="198" t="s">
        <v>14</v>
      </c>
      <c r="C96" s="208">
        <v>368.02</v>
      </c>
      <c r="D96" s="198" t="s">
        <v>1249</v>
      </c>
      <c r="G96" s="42"/>
      <c r="H96" s="42"/>
      <c r="I96" s="42"/>
      <c r="J96" s="42"/>
      <c r="K96" s="42"/>
      <c r="L96" s="42"/>
      <c r="M96" s="42"/>
    </row>
    <row r="97">
      <c r="A97" s="210">
        <v>45797.0</v>
      </c>
      <c r="B97" s="198" t="s">
        <v>14</v>
      </c>
      <c r="C97" s="208">
        <v>16.95</v>
      </c>
      <c r="D97" s="198" t="s">
        <v>1250</v>
      </c>
      <c r="G97" s="42"/>
      <c r="H97" s="42"/>
      <c r="I97" s="42"/>
      <c r="J97" s="42"/>
      <c r="K97" s="42"/>
      <c r="L97" s="42"/>
      <c r="M97" s="42"/>
    </row>
    <row r="98">
      <c r="A98" s="197">
        <v>45797.0</v>
      </c>
      <c r="B98" s="198" t="s">
        <v>15</v>
      </c>
      <c r="C98" s="199">
        <v>61.41</v>
      </c>
      <c r="D98" s="200" t="s">
        <v>1217</v>
      </c>
      <c r="G98" s="42"/>
      <c r="H98" s="42"/>
      <c r="I98" s="42"/>
      <c r="J98" s="42"/>
      <c r="K98" s="42"/>
      <c r="L98" s="42"/>
      <c r="M98" s="42"/>
    </row>
    <row r="99">
      <c r="A99" s="181">
        <v>45795.0</v>
      </c>
      <c r="B99" s="178" t="s">
        <v>79</v>
      </c>
      <c r="C99" s="182">
        <v>357.0</v>
      </c>
      <c r="D99" s="183" t="s">
        <v>1251</v>
      </c>
      <c r="E99" s="200"/>
      <c r="G99" s="99"/>
      <c r="H99" s="42"/>
      <c r="I99" s="42"/>
      <c r="J99" s="42"/>
      <c r="K99" s="42"/>
      <c r="L99" s="42"/>
      <c r="M99" s="42"/>
    </row>
    <row r="100">
      <c r="A100" s="197">
        <v>45798.0</v>
      </c>
      <c r="B100" s="198" t="s">
        <v>15</v>
      </c>
      <c r="C100" s="199">
        <v>21.46</v>
      </c>
      <c r="D100" s="200" t="s">
        <v>806</v>
      </c>
      <c r="G100" s="99"/>
      <c r="H100" s="42"/>
      <c r="I100" s="42"/>
      <c r="J100" s="42"/>
      <c r="K100" s="42"/>
      <c r="L100" s="42"/>
      <c r="M100" s="42"/>
    </row>
    <row r="101">
      <c r="A101" s="197">
        <v>45798.0</v>
      </c>
      <c r="B101" s="198" t="s">
        <v>25</v>
      </c>
      <c r="C101" s="199">
        <v>9.64</v>
      </c>
      <c r="D101" s="200" t="s">
        <v>1252</v>
      </c>
      <c r="G101" s="42"/>
      <c r="H101" s="42"/>
      <c r="I101" s="42"/>
      <c r="J101" s="42"/>
      <c r="K101" s="42"/>
      <c r="L101" s="42"/>
      <c r="M101" s="42"/>
    </row>
    <row r="102">
      <c r="A102" s="197">
        <v>45798.0</v>
      </c>
      <c r="B102" s="198" t="s">
        <v>25</v>
      </c>
      <c r="C102" s="199">
        <v>2.79</v>
      </c>
      <c r="D102" s="200" t="s">
        <v>1180</v>
      </c>
      <c r="G102" s="42"/>
      <c r="H102" s="42"/>
      <c r="I102" s="42"/>
      <c r="J102" s="42"/>
      <c r="K102" s="42"/>
      <c r="L102" s="42"/>
      <c r="M102" s="42"/>
    </row>
    <row r="103">
      <c r="A103" s="210">
        <v>45798.0</v>
      </c>
      <c r="B103" s="198" t="s">
        <v>22</v>
      </c>
      <c r="C103" s="208">
        <v>4.99</v>
      </c>
      <c r="D103" s="198" t="s">
        <v>1191</v>
      </c>
      <c r="G103" s="42"/>
      <c r="H103" s="42"/>
      <c r="I103" s="42"/>
      <c r="J103" s="42"/>
      <c r="K103" s="42"/>
      <c r="L103" s="42"/>
      <c r="M103" s="42"/>
    </row>
    <row r="104">
      <c r="A104" s="210">
        <v>45799.0</v>
      </c>
      <c r="B104" s="198" t="s">
        <v>25</v>
      </c>
      <c r="C104" s="208">
        <v>25.0</v>
      </c>
      <c r="D104" s="198" t="s">
        <v>1253</v>
      </c>
      <c r="G104" s="42"/>
      <c r="H104" s="42"/>
      <c r="I104" s="42"/>
      <c r="J104" s="42"/>
      <c r="K104" s="42"/>
      <c r="L104" s="42"/>
      <c r="M104" s="42"/>
    </row>
    <row r="105">
      <c r="A105" s="210">
        <v>45800.0</v>
      </c>
      <c r="B105" s="198" t="s">
        <v>17</v>
      </c>
      <c r="C105" s="208">
        <v>81.15</v>
      </c>
      <c r="D105" s="198" t="s">
        <v>1112</v>
      </c>
      <c r="G105" s="42"/>
      <c r="H105" s="42"/>
      <c r="I105" s="42"/>
      <c r="J105" s="42"/>
      <c r="K105" s="42"/>
      <c r="L105" s="42"/>
      <c r="M105" s="42"/>
    </row>
    <row r="106">
      <c r="A106" s="210">
        <v>45802.0</v>
      </c>
      <c r="B106" s="198" t="s">
        <v>25</v>
      </c>
      <c r="C106" s="208">
        <v>25.0</v>
      </c>
      <c r="D106" s="198" t="s">
        <v>1254</v>
      </c>
      <c r="G106" s="42"/>
      <c r="H106" s="42"/>
      <c r="I106" s="42"/>
      <c r="J106" s="42"/>
      <c r="K106" s="42"/>
      <c r="L106" s="42"/>
      <c r="M106" s="42"/>
    </row>
    <row r="107">
      <c r="A107" s="197">
        <v>45803.0</v>
      </c>
      <c r="B107" s="198" t="s">
        <v>17</v>
      </c>
      <c r="C107" s="199">
        <v>3.25</v>
      </c>
      <c r="D107" s="200" t="s">
        <v>1255</v>
      </c>
      <c r="G107" s="42"/>
      <c r="H107" s="42"/>
      <c r="I107" s="42"/>
      <c r="J107" s="42"/>
      <c r="K107" s="42"/>
      <c r="L107" s="42"/>
      <c r="M107" s="42"/>
    </row>
    <row r="108">
      <c r="A108" s="197">
        <v>45804.0</v>
      </c>
      <c r="B108" s="198" t="s">
        <v>17</v>
      </c>
      <c r="C108" s="199">
        <v>6.69</v>
      </c>
      <c r="D108" s="200" t="s">
        <v>1256</v>
      </c>
      <c r="G108" s="42"/>
      <c r="H108" s="42"/>
      <c r="I108" s="42"/>
      <c r="J108" s="42"/>
      <c r="K108" s="42"/>
      <c r="L108" s="42"/>
      <c r="M108" s="42"/>
    </row>
    <row r="109">
      <c r="A109" s="197">
        <v>45805.0</v>
      </c>
      <c r="B109" s="198" t="s">
        <v>19</v>
      </c>
      <c r="C109" s="199">
        <v>79.0</v>
      </c>
      <c r="D109" s="200" t="s">
        <v>1257</v>
      </c>
      <c r="G109" s="42"/>
      <c r="H109" s="42"/>
      <c r="I109" s="42"/>
      <c r="J109" s="42"/>
      <c r="K109" s="42"/>
      <c r="L109" s="42"/>
      <c r="M109" s="42"/>
    </row>
    <row r="110">
      <c r="A110" s="197">
        <v>45806.0</v>
      </c>
      <c r="B110" s="198" t="s">
        <v>25</v>
      </c>
      <c r="C110" s="199">
        <v>11.0</v>
      </c>
      <c r="D110" s="200" t="s">
        <v>1258</v>
      </c>
      <c r="G110" s="42"/>
      <c r="H110" s="42"/>
      <c r="I110" s="42"/>
      <c r="J110" s="42"/>
      <c r="K110" s="42"/>
      <c r="L110" s="42"/>
      <c r="M110" s="42"/>
    </row>
    <row r="111">
      <c r="A111" s="197">
        <v>45806.0</v>
      </c>
      <c r="B111" s="198" t="s">
        <v>19</v>
      </c>
      <c r="C111" s="199">
        <v>57.12</v>
      </c>
      <c r="D111" s="200" t="s">
        <v>1259</v>
      </c>
      <c r="G111" s="42"/>
      <c r="H111" s="42"/>
      <c r="I111" s="42"/>
      <c r="J111" s="42"/>
      <c r="K111" s="42"/>
      <c r="L111" s="42"/>
      <c r="M111" s="42"/>
    </row>
    <row r="112">
      <c r="A112" s="197">
        <v>45799.0</v>
      </c>
      <c r="B112" s="198" t="s">
        <v>19</v>
      </c>
      <c r="C112" s="199">
        <v>18.18</v>
      </c>
      <c r="D112" s="200" t="s">
        <v>1260</v>
      </c>
      <c r="E112" s="200"/>
      <c r="G112" s="42"/>
      <c r="H112" s="42"/>
      <c r="I112" s="42"/>
      <c r="J112" s="42"/>
      <c r="K112" s="42"/>
      <c r="L112" s="42"/>
      <c r="M112" s="42"/>
    </row>
    <row r="113">
      <c r="A113" s="197">
        <v>45802.0</v>
      </c>
      <c r="B113" s="198" t="s">
        <v>15</v>
      </c>
      <c r="C113" s="199">
        <v>28.42</v>
      </c>
      <c r="D113" s="200" t="s">
        <v>1261</v>
      </c>
      <c r="E113" s="200"/>
      <c r="G113" s="42"/>
      <c r="H113" s="42"/>
      <c r="I113" s="42"/>
      <c r="J113" s="42"/>
      <c r="K113" s="42"/>
      <c r="L113" s="42"/>
      <c r="M113" s="42"/>
    </row>
    <row r="114">
      <c r="A114" s="197">
        <v>45804.0</v>
      </c>
      <c r="B114" s="198" t="s">
        <v>19</v>
      </c>
      <c r="C114" s="199">
        <v>10.71</v>
      </c>
      <c r="D114" s="200" t="s">
        <v>1262</v>
      </c>
      <c r="E114" s="200"/>
      <c r="G114" s="42"/>
      <c r="H114" s="42"/>
      <c r="I114" s="42"/>
      <c r="J114" s="42"/>
      <c r="K114" s="42"/>
      <c r="L114" s="42"/>
      <c r="M114" s="42"/>
    </row>
    <row r="115">
      <c r="A115" s="197">
        <v>45804.0</v>
      </c>
      <c r="B115" s="198" t="s">
        <v>19</v>
      </c>
      <c r="C115" s="199">
        <v>9.89</v>
      </c>
      <c r="D115" s="200" t="s">
        <v>1263</v>
      </c>
      <c r="E115" s="200"/>
      <c r="G115" s="42"/>
      <c r="H115" s="42"/>
      <c r="I115" s="42"/>
      <c r="J115" s="42"/>
      <c r="K115" s="42"/>
      <c r="L115" s="42"/>
      <c r="M115" s="42"/>
    </row>
    <row r="116">
      <c r="A116" s="197">
        <v>45807.0</v>
      </c>
      <c r="B116" s="198" t="s">
        <v>15</v>
      </c>
      <c r="C116" s="199">
        <v>9.99</v>
      </c>
      <c r="D116" s="200" t="s">
        <v>936</v>
      </c>
      <c r="E116" s="200"/>
      <c r="G116" s="42"/>
      <c r="H116" s="42"/>
      <c r="I116" s="42"/>
      <c r="J116" s="42"/>
      <c r="K116" s="42"/>
      <c r="L116" s="42"/>
      <c r="M116" s="42"/>
    </row>
    <row r="117">
      <c r="A117" s="197">
        <v>45806.0</v>
      </c>
      <c r="B117" s="198" t="s">
        <v>22</v>
      </c>
      <c r="C117" s="199">
        <v>128.0</v>
      </c>
      <c r="D117" s="200" t="s">
        <v>1264</v>
      </c>
      <c r="G117" s="42"/>
      <c r="H117" s="42"/>
      <c r="I117" s="42"/>
      <c r="J117" s="42"/>
      <c r="K117" s="42"/>
      <c r="L117" s="42"/>
      <c r="M117" s="42"/>
    </row>
    <row r="118">
      <c r="E118" s="107">
        <v>-2.75</v>
      </c>
      <c r="G118" s="42"/>
      <c r="H118" s="42"/>
      <c r="I118" s="42"/>
      <c r="J118" s="42"/>
      <c r="K118" s="42"/>
      <c r="L118" s="42"/>
      <c r="M118" s="42"/>
    </row>
    <row r="119">
      <c r="A119" s="181"/>
      <c r="B119" s="178"/>
      <c r="C119" s="182"/>
      <c r="D119" s="183"/>
      <c r="E119" s="107">
        <v>-13.25</v>
      </c>
      <c r="G119" s="42"/>
      <c r="H119" s="42"/>
      <c r="I119" s="42"/>
      <c r="J119" s="42"/>
      <c r="K119" s="42"/>
      <c r="L119" s="42"/>
      <c r="M119" s="42"/>
    </row>
    <row r="120">
      <c r="A120" s="192"/>
      <c r="B120" s="184"/>
      <c r="C120" s="202"/>
      <c r="D120" s="193"/>
      <c r="E120" s="107">
        <v>-28.27</v>
      </c>
      <c r="G120" s="42"/>
      <c r="H120" s="42"/>
      <c r="I120" s="42"/>
      <c r="J120" s="42"/>
      <c r="K120" s="42"/>
      <c r="L120" s="42"/>
      <c r="M120" s="42"/>
    </row>
    <row r="121">
      <c r="A121" s="181"/>
      <c r="B121" s="178"/>
      <c r="C121" s="182"/>
      <c r="D121" s="183"/>
      <c r="E121" s="107">
        <v>-51.99</v>
      </c>
      <c r="G121" s="42"/>
      <c r="H121" s="42"/>
      <c r="I121" s="42"/>
      <c r="J121" s="42"/>
      <c r="K121" s="42"/>
      <c r="L121" s="42"/>
      <c r="M121" s="42"/>
    </row>
    <row r="122">
      <c r="A122" s="181"/>
      <c r="B122" s="178"/>
      <c r="C122" s="182"/>
      <c r="D122" s="183"/>
      <c r="E122" s="107">
        <v>-31.03</v>
      </c>
      <c r="G122" s="42"/>
      <c r="H122" s="42"/>
      <c r="I122" s="42"/>
      <c r="J122" s="42"/>
      <c r="K122" s="42"/>
      <c r="L122" s="42"/>
      <c r="M122" s="42"/>
    </row>
    <row r="123">
      <c r="A123" s="181"/>
      <c r="B123" s="178"/>
      <c r="C123" s="182"/>
      <c r="D123" s="183"/>
      <c r="E123" s="107">
        <v>-53.58</v>
      </c>
      <c r="G123" s="42"/>
      <c r="H123" s="42"/>
      <c r="I123" s="42"/>
      <c r="J123" s="42"/>
      <c r="K123" s="42"/>
      <c r="L123" s="42"/>
      <c r="M123" s="42"/>
    </row>
    <row r="124">
      <c r="A124" s="181"/>
      <c r="B124" s="178"/>
      <c r="C124" s="182"/>
      <c r="D124" s="183"/>
      <c r="E124" s="107">
        <v>-1.5</v>
      </c>
      <c r="G124" s="42"/>
      <c r="H124" s="42"/>
      <c r="I124" s="42"/>
      <c r="J124" s="42"/>
      <c r="K124" s="42"/>
      <c r="L124" s="42"/>
      <c r="M124" s="42"/>
    </row>
    <row r="125">
      <c r="A125" s="181"/>
      <c r="B125" s="178"/>
      <c r="C125" s="182"/>
      <c r="D125" s="183"/>
      <c r="E125" s="107">
        <v>-12.84</v>
      </c>
      <c r="G125" s="42"/>
      <c r="H125" s="42"/>
      <c r="I125" s="42"/>
      <c r="J125" s="42"/>
      <c r="K125" s="42"/>
      <c r="L125" s="42"/>
      <c r="M125" s="42"/>
    </row>
    <row r="126">
      <c r="A126" s="181"/>
      <c r="B126" s="178"/>
      <c r="C126" s="182"/>
      <c r="D126" s="183"/>
      <c r="E126" s="107">
        <v>-2.4</v>
      </c>
      <c r="G126" s="42"/>
      <c r="H126" s="42"/>
      <c r="I126" s="42"/>
      <c r="J126" s="42"/>
      <c r="K126" s="42"/>
      <c r="L126" s="42"/>
      <c r="M126" s="42"/>
    </row>
    <row r="127">
      <c r="A127" s="192"/>
      <c r="B127" s="184"/>
      <c r="C127" s="202"/>
      <c r="D127" s="193"/>
      <c r="E127" s="107">
        <v>-1.25</v>
      </c>
      <c r="G127" s="42"/>
      <c r="H127" s="42"/>
      <c r="I127" s="42"/>
      <c r="J127" s="42"/>
      <c r="K127" s="42"/>
      <c r="L127" s="42"/>
      <c r="M127" s="42"/>
    </row>
    <row r="128">
      <c r="A128" s="181"/>
      <c r="B128" s="178"/>
      <c r="C128" s="182"/>
      <c r="D128" s="183"/>
      <c r="E128" s="107">
        <v>-25.95</v>
      </c>
      <c r="G128" s="42"/>
      <c r="H128" s="42"/>
      <c r="I128" s="42"/>
      <c r="J128" s="42"/>
      <c r="K128" s="42"/>
      <c r="L128" s="42"/>
      <c r="M128" s="42"/>
    </row>
    <row r="129">
      <c r="A129" s="192"/>
      <c r="B129" s="184"/>
      <c r="C129" s="202"/>
      <c r="D129" s="193"/>
      <c r="E129" s="107">
        <v>-1.25</v>
      </c>
      <c r="G129" s="42"/>
      <c r="H129" s="42"/>
      <c r="I129" s="42"/>
      <c r="J129" s="42"/>
      <c r="K129" s="42"/>
      <c r="L129" s="42"/>
      <c r="M129" s="42"/>
    </row>
    <row r="130">
      <c r="A130" s="181"/>
      <c r="B130" s="178"/>
      <c r="C130" s="182"/>
      <c r="D130" s="183"/>
      <c r="E130" s="107">
        <v>-3.95</v>
      </c>
      <c r="G130" s="42"/>
      <c r="H130" s="42"/>
      <c r="I130" s="42"/>
      <c r="J130" s="42"/>
      <c r="K130" s="42"/>
      <c r="L130" s="42"/>
      <c r="M130" s="42"/>
    </row>
    <row r="131">
      <c r="A131" s="192"/>
      <c r="B131" s="184"/>
      <c r="C131" s="202"/>
      <c r="D131" s="193"/>
      <c r="E131" s="107">
        <v>-1.25</v>
      </c>
      <c r="G131" s="42"/>
      <c r="H131" s="42"/>
      <c r="I131" s="42"/>
      <c r="J131" s="42"/>
      <c r="K131" s="42"/>
      <c r="L131" s="42"/>
      <c r="M131" s="42"/>
    </row>
    <row r="132">
      <c r="A132" s="181"/>
      <c r="B132" s="178"/>
      <c r="C132" s="182"/>
      <c r="D132" s="183"/>
      <c r="E132" s="107">
        <v>-55.88</v>
      </c>
      <c r="G132" s="42"/>
      <c r="H132" s="42"/>
      <c r="I132" s="42"/>
      <c r="J132" s="42"/>
      <c r="K132" s="42"/>
      <c r="L132" s="42"/>
      <c r="M132" s="42"/>
    </row>
    <row r="133">
      <c r="A133" s="181"/>
      <c r="B133" s="178"/>
      <c r="C133" s="182"/>
      <c r="D133" s="183"/>
      <c r="E133" s="107">
        <v>-25.02</v>
      </c>
      <c r="G133" s="42"/>
      <c r="H133" s="42"/>
      <c r="I133" s="42"/>
      <c r="J133" s="42"/>
      <c r="K133" s="42"/>
      <c r="L133" s="42"/>
      <c r="M133" s="42"/>
    </row>
    <row r="134">
      <c r="A134" s="181"/>
      <c r="B134" s="178"/>
      <c r="C134" s="182"/>
      <c r="D134" s="183"/>
      <c r="E134" s="107">
        <v>-81.2</v>
      </c>
      <c r="G134" s="42"/>
      <c r="H134" s="42"/>
      <c r="I134" s="42"/>
      <c r="J134" s="42"/>
      <c r="K134" s="42"/>
      <c r="L134" s="42"/>
      <c r="M134" s="42"/>
    </row>
    <row r="135">
      <c r="A135" s="192"/>
      <c r="B135" s="184"/>
      <c r="C135" s="189"/>
      <c r="D135" s="186"/>
      <c r="E135" s="107"/>
      <c r="G135" s="42"/>
      <c r="H135" s="42"/>
      <c r="I135" s="42"/>
      <c r="J135" s="42"/>
      <c r="K135" s="42"/>
      <c r="L135" s="42"/>
      <c r="M135" s="42"/>
    </row>
    <row r="136">
      <c r="A136" s="204"/>
      <c r="B136" s="184"/>
      <c r="C136" s="194"/>
      <c r="D136" s="194"/>
      <c r="E136" s="107"/>
      <c r="G136" s="42"/>
      <c r="H136" s="42"/>
      <c r="I136" s="42"/>
      <c r="J136" s="42"/>
      <c r="K136" s="42"/>
      <c r="L136" s="42"/>
      <c r="M136" s="42"/>
    </row>
    <row r="137">
      <c r="A137" s="181"/>
      <c r="B137" s="178"/>
      <c r="C137" s="182"/>
      <c r="D137" s="180"/>
      <c r="E137" s="107"/>
      <c r="G137" s="42"/>
      <c r="H137" s="42"/>
      <c r="I137" s="42"/>
      <c r="J137" s="42"/>
      <c r="K137" s="42"/>
      <c r="L137" s="42"/>
      <c r="M137" s="42"/>
    </row>
    <row r="138">
      <c r="A138" s="192"/>
      <c r="B138" s="186"/>
      <c r="C138" s="189"/>
      <c r="D138" s="186"/>
      <c r="E138" s="107"/>
      <c r="G138" s="42"/>
      <c r="H138" s="42"/>
      <c r="I138" s="42"/>
      <c r="J138" s="42"/>
      <c r="K138" s="42"/>
      <c r="L138" s="42"/>
      <c r="M138" s="42"/>
    </row>
    <row r="139">
      <c r="A139" s="181"/>
      <c r="B139" s="178"/>
      <c r="C139" s="182"/>
      <c r="D139" s="180"/>
      <c r="E139" s="107"/>
      <c r="G139" s="42"/>
      <c r="H139" s="42"/>
      <c r="I139" s="42"/>
      <c r="J139" s="42"/>
      <c r="K139" s="42"/>
      <c r="L139" s="42"/>
      <c r="M139" s="42"/>
    </row>
    <row r="140">
      <c r="A140" s="192"/>
      <c r="B140" s="186"/>
      <c r="C140" s="189"/>
      <c r="D140" s="186"/>
      <c r="E140" s="107"/>
      <c r="G140" s="42"/>
      <c r="H140" s="42"/>
      <c r="I140" s="42"/>
      <c r="J140" s="42"/>
      <c r="K140" s="42"/>
      <c r="L140" s="42"/>
      <c r="M140" s="42"/>
    </row>
    <row r="141">
      <c r="A141" s="181"/>
      <c r="B141" s="178"/>
      <c r="C141" s="182"/>
      <c r="D141" s="180"/>
      <c r="E141" s="107"/>
      <c r="G141" s="42"/>
      <c r="H141" s="42"/>
      <c r="I141" s="42"/>
      <c r="J141" s="42"/>
      <c r="K141" s="42"/>
      <c r="L141" s="42"/>
      <c r="M141" s="42"/>
    </row>
    <row r="142">
      <c r="A142" s="188"/>
      <c r="B142" s="186"/>
      <c r="C142" s="189"/>
      <c r="D142" s="186"/>
      <c r="E142" s="107"/>
      <c r="G142" s="42"/>
      <c r="H142" s="42"/>
      <c r="I142" s="42"/>
      <c r="J142" s="42"/>
      <c r="K142" s="42"/>
      <c r="L142" s="42"/>
      <c r="M142" s="42"/>
    </row>
    <row r="143">
      <c r="A143" s="181"/>
      <c r="B143" s="178"/>
      <c r="C143" s="182"/>
      <c r="D143" s="180"/>
      <c r="E143" s="107"/>
      <c r="G143" s="42"/>
      <c r="H143" s="42"/>
      <c r="I143" s="42"/>
      <c r="J143" s="42"/>
      <c r="K143" s="42"/>
      <c r="L143" s="42"/>
      <c r="M143" s="42"/>
    </row>
    <row r="144">
      <c r="A144" s="181"/>
      <c r="B144" s="178"/>
      <c r="C144" s="182"/>
      <c r="D144" s="180"/>
      <c r="E144" s="107"/>
      <c r="G144" s="42"/>
      <c r="H144" s="42"/>
      <c r="I144" s="42"/>
      <c r="J144" s="42"/>
      <c r="K144" s="42"/>
      <c r="L144" s="42"/>
      <c r="M144" s="42"/>
    </row>
    <row r="145">
      <c r="A145" s="188"/>
      <c r="B145" s="186"/>
      <c r="C145" s="189"/>
      <c r="D145" s="186"/>
      <c r="E145" s="107"/>
      <c r="G145" s="42"/>
      <c r="H145" s="42"/>
      <c r="I145" s="42"/>
      <c r="J145" s="42"/>
      <c r="K145" s="42"/>
      <c r="L145" s="42"/>
      <c r="M145" s="42"/>
    </row>
    <row r="146">
      <c r="A146" s="181"/>
      <c r="B146" s="178"/>
      <c r="C146" s="182"/>
      <c r="D146" s="180"/>
      <c r="E146" s="107"/>
      <c r="G146" s="42"/>
      <c r="H146" s="42"/>
      <c r="I146" s="42"/>
      <c r="J146" s="42"/>
      <c r="K146" s="42"/>
      <c r="L146" s="42"/>
      <c r="M146" s="42"/>
    </row>
    <row r="147">
      <c r="A147" s="181"/>
      <c r="B147" s="178"/>
      <c r="C147" s="182"/>
      <c r="D147" s="180"/>
      <c r="E147" s="107"/>
      <c r="G147" s="42"/>
      <c r="H147" s="42"/>
      <c r="I147" s="42"/>
      <c r="J147" s="42"/>
      <c r="K147" s="42"/>
      <c r="L147" s="42"/>
      <c r="M147" s="42"/>
    </row>
    <row r="148">
      <c r="A148" s="192"/>
      <c r="B148" s="184"/>
      <c r="C148" s="202"/>
      <c r="D148" s="193"/>
      <c r="E148" s="107"/>
      <c r="G148" s="42"/>
      <c r="H148" s="42"/>
      <c r="I148" s="42"/>
      <c r="J148" s="42"/>
      <c r="K148" s="42"/>
      <c r="L148" s="42"/>
      <c r="M148" s="42"/>
    </row>
    <row r="149">
      <c r="A149" s="181"/>
      <c r="B149" s="205"/>
      <c r="C149" s="183"/>
      <c r="D149" s="183"/>
      <c r="E149" s="107"/>
      <c r="G149" s="42"/>
      <c r="H149" s="42"/>
      <c r="I149" s="42"/>
      <c r="J149" s="42"/>
      <c r="K149" s="42"/>
      <c r="L149" s="42"/>
      <c r="M149" s="42"/>
    </row>
    <row r="150">
      <c r="A150" s="188"/>
      <c r="B150" s="186"/>
      <c r="C150" s="189"/>
      <c r="D150" s="186"/>
      <c r="E150" s="107"/>
      <c r="G150" s="42"/>
      <c r="H150" s="42"/>
      <c r="I150" s="42"/>
      <c r="J150" s="42"/>
      <c r="K150" s="42"/>
      <c r="L150" s="42"/>
      <c r="M150" s="42"/>
    </row>
    <row r="151">
      <c r="A151" s="181"/>
      <c r="B151" s="205"/>
      <c r="C151" s="183"/>
      <c r="D151" s="183"/>
      <c r="E151" s="107"/>
      <c r="G151" s="42"/>
      <c r="H151" s="42"/>
      <c r="I151" s="42"/>
      <c r="J151" s="42"/>
      <c r="K151" s="42"/>
      <c r="L151" s="42"/>
      <c r="M151" s="42"/>
    </row>
    <row r="152">
      <c r="A152" s="188"/>
      <c r="B152" s="186"/>
      <c r="C152" s="189"/>
      <c r="D152" s="186"/>
      <c r="E152" s="107"/>
      <c r="G152" s="42"/>
      <c r="H152" s="42"/>
      <c r="I152" s="42"/>
      <c r="J152" s="42"/>
      <c r="K152" s="42"/>
      <c r="L152" s="42"/>
      <c r="M152" s="42"/>
    </row>
    <row r="153">
      <c r="A153" s="181"/>
      <c r="B153" s="205"/>
      <c r="C153" s="183"/>
      <c r="D153" s="183"/>
      <c r="E153" s="107"/>
      <c r="G153" s="42"/>
      <c r="H153" s="42"/>
      <c r="I153" s="42"/>
      <c r="J153" s="42"/>
      <c r="K153" s="42"/>
      <c r="L153" s="42"/>
      <c r="M153" s="42"/>
    </row>
    <row r="154">
      <c r="A154" s="181"/>
      <c r="B154" s="205"/>
      <c r="C154" s="183"/>
      <c r="D154" s="183"/>
      <c r="E154" s="107"/>
      <c r="G154" s="42"/>
      <c r="H154" s="42"/>
      <c r="I154" s="42"/>
      <c r="J154" s="42"/>
      <c r="K154" s="42"/>
      <c r="L154" s="42"/>
      <c r="M154" s="42"/>
    </row>
    <row r="155">
      <c r="A155" s="181"/>
      <c r="B155" s="205"/>
      <c r="C155" s="183"/>
      <c r="D155" s="183"/>
      <c r="E155" s="107"/>
      <c r="G155" s="42"/>
      <c r="H155" s="42"/>
      <c r="I155" s="42"/>
      <c r="J155" s="42"/>
      <c r="K155" s="42"/>
      <c r="L155" s="42"/>
      <c r="M155" s="42"/>
    </row>
    <row r="156">
      <c r="A156" s="188"/>
      <c r="B156" s="186"/>
      <c r="C156" s="189"/>
      <c r="D156" s="186"/>
      <c r="E156" s="107"/>
      <c r="G156" s="42"/>
      <c r="H156" s="42"/>
      <c r="I156" s="42"/>
      <c r="J156" s="42"/>
      <c r="K156" s="42"/>
      <c r="L156" s="42"/>
      <c r="M156" s="42"/>
    </row>
    <row r="157">
      <c r="A157" s="181"/>
      <c r="B157" s="205"/>
      <c r="C157" s="183"/>
      <c r="D157" s="183"/>
      <c r="E157" s="107"/>
      <c r="G157" s="42"/>
      <c r="H157" s="42"/>
      <c r="I157" s="42"/>
      <c r="J157" s="42"/>
      <c r="K157" s="42"/>
      <c r="L157" s="42"/>
      <c r="M157" s="42"/>
    </row>
    <row r="158">
      <c r="A158" s="181"/>
      <c r="B158" s="205"/>
      <c r="C158" s="183"/>
      <c r="D158" s="183"/>
      <c r="E158" s="107"/>
      <c r="G158" s="42"/>
      <c r="H158" s="42"/>
      <c r="I158" s="42"/>
      <c r="J158" s="42"/>
      <c r="K158" s="42"/>
      <c r="L158" s="42"/>
      <c r="M158" s="42"/>
    </row>
    <row r="159">
      <c r="A159" s="188"/>
      <c r="B159" s="186"/>
      <c r="C159" s="189"/>
      <c r="D159" s="186"/>
      <c r="E159" s="107"/>
      <c r="G159" s="42"/>
      <c r="H159" s="42"/>
      <c r="I159" s="42"/>
      <c r="J159" s="42"/>
      <c r="K159" s="42"/>
      <c r="L159" s="42"/>
      <c r="M159" s="42"/>
    </row>
    <row r="160">
      <c r="A160" s="188"/>
      <c r="B160" s="186"/>
      <c r="C160" s="189"/>
      <c r="D160" s="186"/>
      <c r="E160" s="107"/>
      <c r="G160" s="42"/>
      <c r="H160" s="42"/>
      <c r="I160" s="42"/>
      <c r="J160" s="42"/>
      <c r="K160" s="42"/>
      <c r="L160" s="42"/>
      <c r="M160" s="42"/>
    </row>
    <row r="161">
      <c r="A161" s="181"/>
      <c r="B161" s="178"/>
      <c r="C161" s="182"/>
      <c r="D161" s="183"/>
      <c r="E161" s="107"/>
      <c r="G161" s="42"/>
      <c r="H161" s="42"/>
      <c r="I161" s="42"/>
      <c r="J161" s="42"/>
      <c r="K161" s="42"/>
      <c r="L161" s="42"/>
      <c r="M161" s="42"/>
    </row>
    <row r="162">
      <c r="A162" s="181"/>
      <c r="B162" s="178"/>
      <c r="C162" s="182"/>
      <c r="D162" s="183"/>
      <c r="E162" s="107"/>
      <c r="G162" s="42"/>
      <c r="H162" s="42"/>
      <c r="I162" s="42"/>
      <c r="J162" s="42"/>
      <c r="K162" s="42"/>
      <c r="L162" s="42"/>
      <c r="M162" s="42"/>
    </row>
    <row r="163">
      <c r="A163" s="181"/>
      <c r="B163" s="178"/>
      <c r="C163" s="182"/>
      <c r="D163" s="183"/>
      <c r="E163" s="107"/>
      <c r="G163" s="42"/>
      <c r="H163" s="42"/>
      <c r="I163" s="42"/>
      <c r="J163" s="42"/>
      <c r="K163" s="42"/>
      <c r="L163" s="42"/>
      <c r="M163" s="42"/>
    </row>
    <row r="164">
      <c r="A164" s="181"/>
      <c r="B164" s="178"/>
      <c r="C164" s="182"/>
      <c r="D164" s="183"/>
      <c r="E164" s="107"/>
      <c r="G164" s="42"/>
      <c r="H164" s="42"/>
      <c r="I164" s="42"/>
      <c r="J164" s="42"/>
      <c r="K164" s="42"/>
      <c r="L164" s="42"/>
      <c r="M164" s="42"/>
    </row>
    <row r="165">
      <c r="A165" s="188"/>
      <c r="B165" s="186"/>
      <c r="C165" s="189"/>
      <c r="D165" s="186"/>
      <c r="E165" s="107"/>
      <c r="G165" s="42"/>
      <c r="H165" s="42"/>
      <c r="I165" s="42"/>
      <c r="J165" s="42"/>
      <c r="K165" s="42"/>
      <c r="L165" s="42"/>
      <c r="M165" s="42"/>
    </row>
    <row r="166">
      <c r="A166" s="188"/>
      <c r="B166" s="186"/>
      <c r="C166" s="189"/>
      <c r="D166" s="186"/>
      <c r="E166" s="107"/>
      <c r="G166" s="42"/>
      <c r="H166" s="42"/>
      <c r="I166" s="42"/>
      <c r="J166" s="42"/>
      <c r="K166" s="42"/>
      <c r="L166" s="42"/>
      <c r="M166" s="42"/>
    </row>
    <row r="167">
      <c r="A167" s="188"/>
      <c r="B167" s="186"/>
      <c r="C167" s="189"/>
      <c r="D167" s="186"/>
      <c r="E167" s="107"/>
      <c r="G167" s="42"/>
      <c r="H167" s="42"/>
      <c r="I167" s="42"/>
      <c r="J167" s="42"/>
      <c r="K167" s="42"/>
      <c r="L167" s="42"/>
      <c r="M167" s="42"/>
    </row>
    <row r="168">
      <c r="A168" s="190"/>
      <c r="B168" s="184"/>
      <c r="C168" s="194"/>
      <c r="D168" s="194"/>
      <c r="E168" s="107"/>
      <c r="G168" s="42"/>
      <c r="H168" s="42"/>
      <c r="I168" s="42"/>
      <c r="J168" s="42"/>
      <c r="K168" s="42"/>
      <c r="L168" s="42"/>
      <c r="M168" s="42"/>
    </row>
    <row r="169">
      <c r="A169" s="190"/>
      <c r="B169" s="184"/>
      <c r="C169" s="194"/>
      <c r="D169" s="194"/>
      <c r="E169" s="107"/>
      <c r="G169" s="42"/>
      <c r="H169" s="42"/>
      <c r="I169" s="42"/>
      <c r="J169" s="42"/>
      <c r="K169" s="42"/>
      <c r="L169" s="42"/>
      <c r="M169" s="42"/>
    </row>
    <row r="170">
      <c r="A170" s="188"/>
      <c r="B170" s="186"/>
      <c r="C170" s="189"/>
      <c r="D170" s="186"/>
      <c r="E170" s="107"/>
      <c r="G170" s="42"/>
      <c r="H170" s="42"/>
      <c r="I170" s="42"/>
      <c r="J170" s="42"/>
      <c r="K170" s="42"/>
      <c r="L170" s="42"/>
      <c r="M170" s="42"/>
    </row>
    <row r="171">
      <c r="A171" s="188"/>
      <c r="B171" s="186"/>
      <c r="C171" s="189"/>
      <c r="D171" s="186"/>
      <c r="E171" s="107"/>
      <c r="G171" s="42"/>
      <c r="H171" s="42"/>
      <c r="I171" s="42"/>
      <c r="J171" s="42"/>
      <c r="K171" s="42"/>
      <c r="L171" s="42"/>
      <c r="M171" s="42"/>
    </row>
    <row r="172">
      <c r="A172" s="192"/>
      <c r="B172" s="184"/>
      <c r="C172" s="202"/>
      <c r="D172" s="193"/>
      <c r="E172" s="107"/>
      <c r="G172" s="42"/>
      <c r="H172" s="42"/>
      <c r="I172" s="42"/>
      <c r="J172" s="42"/>
      <c r="K172" s="42"/>
      <c r="L172" s="42"/>
      <c r="M172" s="42"/>
    </row>
    <row r="173">
      <c r="A173" s="188"/>
      <c r="B173" s="186"/>
      <c r="C173" s="189"/>
      <c r="D173" s="186"/>
      <c r="E173" s="107"/>
      <c r="G173" s="42"/>
      <c r="H173" s="42"/>
      <c r="I173" s="42"/>
      <c r="J173" s="42"/>
      <c r="K173" s="42"/>
      <c r="L173" s="42"/>
      <c r="M173" s="42"/>
    </row>
    <row r="174">
      <c r="A174" s="190"/>
      <c r="B174" s="184"/>
      <c r="C174" s="194"/>
      <c r="D174" s="194"/>
      <c r="E174" s="107"/>
      <c r="G174" s="42"/>
      <c r="H174" s="42"/>
      <c r="I174" s="42"/>
      <c r="J174" s="42"/>
      <c r="K174" s="42"/>
      <c r="L174" s="42"/>
      <c r="M174" s="42"/>
    </row>
    <row r="175">
      <c r="A175" s="190"/>
      <c r="B175" s="184"/>
      <c r="C175" s="194"/>
      <c r="D175" s="194"/>
      <c r="E175" s="107"/>
      <c r="G175" s="42"/>
      <c r="H175" s="42"/>
      <c r="I175" s="42"/>
      <c r="J175" s="42"/>
      <c r="K175" s="42"/>
      <c r="L175" s="42"/>
      <c r="M175" s="42"/>
    </row>
    <row r="176">
      <c r="A176" s="188"/>
      <c r="B176" s="186"/>
      <c r="C176" s="189"/>
      <c r="D176" s="186"/>
      <c r="E176" s="107"/>
      <c r="G176" s="42"/>
      <c r="H176" s="42"/>
      <c r="I176" s="42"/>
      <c r="J176" s="42"/>
      <c r="K176" s="42"/>
      <c r="L176" s="42"/>
      <c r="M176" s="42"/>
    </row>
    <row r="177">
      <c r="A177" s="188"/>
      <c r="B177" s="186"/>
      <c r="C177" s="189"/>
      <c r="D177" s="186"/>
      <c r="E177" s="107"/>
      <c r="G177" s="42"/>
      <c r="H177" s="42"/>
      <c r="I177" s="42"/>
      <c r="J177" s="42"/>
      <c r="K177" s="42"/>
      <c r="L177" s="42"/>
      <c r="M177" s="42"/>
    </row>
    <row r="178">
      <c r="A178" s="188"/>
      <c r="B178" s="186"/>
      <c r="C178" s="189"/>
      <c r="D178" s="186"/>
      <c r="E178" s="107"/>
      <c r="G178" s="42"/>
      <c r="H178" s="42"/>
      <c r="I178" s="42"/>
      <c r="J178" s="42"/>
      <c r="K178" s="42"/>
      <c r="L178" s="42"/>
      <c r="M178" s="42"/>
    </row>
    <row r="179">
      <c r="A179" s="188"/>
      <c r="B179" s="186"/>
      <c r="C179" s="189"/>
      <c r="D179" s="186"/>
      <c r="E179" s="107"/>
      <c r="G179" s="42"/>
      <c r="H179" s="42"/>
      <c r="I179" s="42"/>
      <c r="J179" s="42"/>
      <c r="K179" s="42"/>
      <c r="L179" s="42"/>
      <c r="M179" s="42"/>
    </row>
    <row r="180">
      <c r="A180" s="188"/>
      <c r="B180" s="186"/>
      <c r="C180" s="189"/>
      <c r="D180" s="186"/>
      <c r="E180" s="107"/>
      <c r="G180" s="42"/>
      <c r="H180" s="42"/>
      <c r="I180" s="42"/>
      <c r="J180" s="42"/>
      <c r="K180" s="42"/>
      <c r="L180" s="42"/>
      <c r="M180" s="42"/>
    </row>
    <row r="181">
      <c r="A181" s="188"/>
      <c r="B181" s="186"/>
      <c r="C181" s="189"/>
      <c r="D181" s="186"/>
      <c r="E181" s="107"/>
      <c r="G181" s="42"/>
      <c r="H181" s="42"/>
      <c r="I181" s="42"/>
      <c r="J181" s="42"/>
      <c r="K181" s="42"/>
      <c r="L181" s="42"/>
      <c r="M181" s="42"/>
    </row>
    <row r="182">
      <c r="A182" s="190"/>
      <c r="B182" s="184"/>
      <c r="C182" s="194"/>
      <c r="D182" s="194"/>
      <c r="E182" s="107"/>
      <c r="G182" s="42"/>
      <c r="H182" s="42"/>
      <c r="I182" s="42"/>
      <c r="J182" s="42"/>
      <c r="K182" s="42"/>
      <c r="L182" s="42"/>
      <c r="M182" s="42"/>
    </row>
    <row r="183">
      <c r="A183" s="188"/>
      <c r="B183" s="186"/>
      <c r="C183" s="189"/>
      <c r="D183" s="186"/>
      <c r="E183" s="107"/>
      <c r="G183" s="42"/>
      <c r="H183" s="42"/>
      <c r="I183" s="42"/>
      <c r="J183" s="42"/>
      <c r="K183" s="42"/>
      <c r="L183" s="42"/>
      <c r="M183" s="42"/>
    </row>
    <row r="184">
      <c r="A184" s="188"/>
      <c r="B184" s="186"/>
      <c r="C184" s="189"/>
      <c r="D184" s="186"/>
      <c r="E184" s="107"/>
      <c r="G184" s="42"/>
      <c r="H184" s="42"/>
      <c r="I184" s="42"/>
      <c r="J184" s="42"/>
      <c r="K184" s="42"/>
      <c r="L184" s="42"/>
      <c r="M184" s="42"/>
    </row>
    <row r="185">
      <c r="A185" s="188"/>
      <c r="B185" s="186"/>
      <c r="C185" s="189"/>
      <c r="D185" s="186"/>
      <c r="E185" s="107"/>
      <c r="G185" s="42"/>
      <c r="H185" s="42"/>
      <c r="I185" s="42"/>
      <c r="J185" s="42"/>
      <c r="K185" s="42"/>
      <c r="L185" s="42"/>
      <c r="M185" s="42"/>
    </row>
    <row r="186">
      <c r="A186" s="188"/>
      <c r="B186" s="186"/>
      <c r="C186" s="189"/>
      <c r="D186" s="186"/>
      <c r="E186" s="107"/>
      <c r="G186" s="42"/>
      <c r="H186" s="42"/>
      <c r="I186" s="42"/>
      <c r="J186" s="42"/>
      <c r="K186" s="42"/>
      <c r="L186" s="42"/>
      <c r="M186" s="42"/>
    </row>
    <row r="187">
      <c r="A187" s="190"/>
      <c r="B187" s="184"/>
      <c r="C187" s="194"/>
      <c r="D187" s="194"/>
      <c r="E187" s="107"/>
      <c r="G187" s="42"/>
      <c r="H187" s="42"/>
      <c r="I187" s="42"/>
      <c r="J187" s="42"/>
      <c r="K187" s="42"/>
      <c r="L187" s="42"/>
      <c r="M187" s="42"/>
    </row>
    <row r="188">
      <c r="A188" s="174"/>
      <c r="B188" s="175"/>
      <c r="C188" s="176"/>
      <c r="D188" s="175"/>
      <c r="E188" s="107"/>
      <c r="G188" s="42"/>
      <c r="H188" s="42"/>
      <c r="I188" s="42"/>
      <c r="J188" s="42"/>
      <c r="K188" s="42"/>
      <c r="L188" s="42"/>
      <c r="M188" s="42"/>
    </row>
    <row r="189">
      <c r="A189" s="177"/>
      <c r="B189" s="178"/>
      <c r="C189" s="180"/>
      <c r="D189" s="180"/>
      <c r="E189" s="107"/>
      <c r="G189" s="42"/>
      <c r="H189" s="42"/>
      <c r="I189" s="42"/>
      <c r="J189" s="42"/>
      <c r="K189" s="42"/>
      <c r="L189" s="42"/>
      <c r="M189" s="42"/>
    </row>
    <row r="190">
      <c r="A190" s="174"/>
      <c r="B190" s="175"/>
      <c r="C190" s="176"/>
      <c r="D190" s="175"/>
      <c r="E190" s="107"/>
      <c r="G190" s="42"/>
      <c r="H190" s="42"/>
      <c r="I190" s="42"/>
      <c r="J190" s="42"/>
      <c r="K190" s="42"/>
      <c r="L190" s="42"/>
      <c r="M190" s="42"/>
    </row>
    <row r="191">
      <c r="A191" s="174"/>
      <c r="B191" s="175"/>
      <c r="C191" s="176"/>
      <c r="D191" s="175"/>
      <c r="E191" s="107"/>
      <c r="G191" s="42"/>
      <c r="H191" s="42"/>
      <c r="I191" s="42"/>
      <c r="J191" s="42"/>
      <c r="K191" s="42"/>
      <c r="L191" s="42"/>
      <c r="M191" s="42"/>
    </row>
    <row r="192">
      <c r="A192" s="174"/>
      <c r="B192" s="175"/>
      <c r="C192" s="176"/>
      <c r="D192" s="175"/>
      <c r="E192" s="107"/>
      <c r="G192" s="42"/>
      <c r="H192" s="42"/>
      <c r="I192" s="42"/>
      <c r="J192" s="42"/>
      <c r="K192" s="42"/>
      <c r="L192" s="42"/>
      <c r="M192" s="42"/>
    </row>
    <row r="193">
      <c r="A193" s="177"/>
      <c r="B193" s="178"/>
      <c r="C193" s="180"/>
      <c r="D193" s="180"/>
      <c r="E193" s="107"/>
      <c r="G193" s="42"/>
      <c r="H193" s="42"/>
      <c r="I193" s="42"/>
      <c r="J193" s="42"/>
      <c r="K193" s="42"/>
      <c r="L193" s="42"/>
      <c r="M193" s="42"/>
    </row>
    <row r="194">
      <c r="A194" s="181"/>
      <c r="B194" s="178"/>
      <c r="C194" s="182"/>
      <c r="D194" s="183"/>
      <c r="E194" s="107"/>
      <c r="G194" s="42"/>
      <c r="H194" s="42"/>
      <c r="I194" s="42"/>
      <c r="J194" s="42"/>
      <c r="K194" s="42"/>
      <c r="L194" s="42"/>
      <c r="M194" s="42"/>
    </row>
    <row r="195">
      <c r="A195" s="181"/>
      <c r="B195" s="178"/>
      <c r="C195" s="182"/>
      <c r="D195" s="183"/>
      <c r="E195" s="107"/>
      <c r="G195" s="42"/>
      <c r="H195" s="42"/>
      <c r="I195" s="42"/>
      <c r="J195" s="42"/>
      <c r="K195" s="42"/>
      <c r="L195" s="42"/>
      <c r="M195" s="42"/>
    </row>
    <row r="196">
      <c r="A196" s="181"/>
      <c r="B196" s="178"/>
      <c r="C196" s="182"/>
      <c r="D196" s="183"/>
      <c r="E196" s="107"/>
      <c r="G196" s="42"/>
      <c r="H196" s="42"/>
      <c r="I196" s="42"/>
      <c r="J196" s="42"/>
      <c r="K196" s="42"/>
      <c r="L196" s="42"/>
      <c r="M196" s="42"/>
    </row>
    <row r="197">
      <c r="A197" s="177"/>
      <c r="B197" s="178"/>
      <c r="C197" s="180"/>
      <c r="D197" s="180"/>
      <c r="E197" s="107"/>
      <c r="G197" s="42"/>
      <c r="H197" s="42"/>
      <c r="I197" s="42"/>
      <c r="J197" s="42"/>
      <c r="K197" s="42"/>
      <c r="L197" s="42"/>
      <c r="M197" s="42"/>
    </row>
    <row r="198">
      <c r="A198" s="177"/>
      <c r="B198" s="178"/>
      <c r="C198" s="180"/>
      <c r="D198" s="180"/>
      <c r="E198" s="107"/>
      <c r="G198" s="42"/>
      <c r="H198" s="42"/>
      <c r="I198" s="42"/>
      <c r="J198" s="42"/>
      <c r="K198" s="42"/>
      <c r="L198" s="42"/>
      <c r="M198" s="42"/>
    </row>
    <row r="199">
      <c r="A199" s="174"/>
      <c r="B199" s="175"/>
      <c r="C199" s="176"/>
      <c r="D199" s="175"/>
      <c r="E199" s="107"/>
      <c r="G199" s="42"/>
      <c r="H199" s="42"/>
      <c r="I199" s="42"/>
      <c r="J199" s="42"/>
      <c r="K199" s="42"/>
      <c r="L199" s="42"/>
      <c r="M199" s="42"/>
    </row>
    <row r="200">
      <c r="A200" s="174"/>
      <c r="B200" s="175"/>
      <c r="C200" s="176"/>
      <c r="D200" s="175"/>
      <c r="E200" s="107"/>
      <c r="G200" s="42"/>
      <c r="H200" s="42"/>
      <c r="I200" s="42"/>
      <c r="J200" s="42"/>
      <c r="K200" s="42"/>
      <c r="L200" s="42"/>
      <c r="M200" s="42"/>
    </row>
    <row r="201">
      <c r="A201" s="174"/>
      <c r="B201" s="175"/>
      <c r="C201" s="176"/>
      <c r="D201" s="175"/>
      <c r="E201" s="107"/>
      <c r="G201" s="42"/>
      <c r="H201" s="42"/>
      <c r="I201" s="42"/>
      <c r="J201" s="42"/>
      <c r="K201" s="42"/>
      <c r="L201" s="42"/>
      <c r="M201" s="42"/>
    </row>
    <row r="202">
      <c r="A202" s="174"/>
      <c r="B202" s="175"/>
      <c r="C202" s="176"/>
      <c r="D202" s="175"/>
      <c r="E202" s="107"/>
      <c r="G202" s="42"/>
      <c r="H202" s="42"/>
      <c r="I202" s="42"/>
      <c r="J202" s="42"/>
      <c r="K202" s="42"/>
      <c r="L202" s="42"/>
      <c r="M202" s="42"/>
    </row>
    <row r="203">
      <c r="A203" s="174"/>
      <c r="B203" s="175"/>
      <c r="C203" s="176"/>
      <c r="D203" s="175"/>
      <c r="E203" s="107"/>
      <c r="G203" s="42"/>
      <c r="H203" s="42"/>
      <c r="I203" s="42"/>
      <c r="J203" s="42"/>
      <c r="K203" s="42"/>
      <c r="L203" s="42"/>
      <c r="M203" s="42"/>
    </row>
    <row r="204">
      <c r="A204" s="174"/>
      <c r="B204" s="175"/>
      <c r="C204" s="176"/>
      <c r="D204" s="175"/>
      <c r="E204" s="107"/>
      <c r="G204" s="42"/>
      <c r="H204" s="42"/>
      <c r="I204" s="42"/>
      <c r="J204" s="42"/>
      <c r="K204" s="42"/>
      <c r="L204" s="42"/>
      <c r="M204" s="42"/>
    </row>
    <row r="205">
      <c r="A205" s="181"/>
      <c r="B205" s="178"/>
      <c r="C205" s="182"/>
      <c r="D205" s="183"/>
      <c r="E205" s="107"/>
      <c r="G205" s="42"/>
      <c r="H205" s="42"/>
      <c r="I205" s="42"/>
      <c r="J205" s="42"/>
      <c r="K205" s="42"/>
      <c r="L205" s="42"/>
      <c r="M205" s="42"/>
    </row>
    <row r="206">
      <c r="A206" s="181"/>
      <c r="B206" s="178"/>
      <c r="C206" s="182"/>
      <c r="D206" s="183"/>
      <c r="E206" s="107"/>
      <c r="G206" s="42"/>
      <c r="H206" s="42"/>
      <c r="I206" s="42"/>
      <c r="J206" s="42"/>
      <c r="K206" s="42"/>
      <c r="L206" s="42"/>
      <c r="M206" s="42"/>
    </row>
    <row r="207">
      <c r="A207" s="181"/>
      <c r="B207" s="178"/>
      <c r="C207" s="182"/>
      <c r="D207" s="183"/>
      <c r="E207" s="107"/>
      <c r="G207" s="42"/>
      <c r="H207" s="42"/>
      <c r="I207" s="42"/>
      <c r="J207" s="42"/>
      <c r="K207" s="42"/>
      <c r="L207" s="42"/>
      <c r="M207" s="42"/>
    </row>
    <row r="208">
      <c r="A208" s="174"/>
      <c r="B208" s="175"/>
      <c r="C208" s="176"/>
      <c r="D208" s="175"/>
      <c r="E208" s="107"/>
      <c r="G208" s="42"/>
      <c r="H208" s="42"/>
      <c r="I208" s="42"/>
      <c r="J208" s="42"/>
      <c r="K208" s="42"/>
      <c r="L208" s="42"/>
      <c r="M208" s="42"/>
    </row>
    <row r="209">
      <c r="A209" s="174"/>
      <c r="B209" s="175"/>
      <c r="C209" s="176"/>
      <c r="D209" s="175"/>
      <c r="E209" s="107"/>
      <c r="G209" s="42"/>
      <c r="H209" s="42"/>
      <c r="I209" s="42"/>
      <c r="J209" s="42"/>
      <c r="K209" s="42"/>
      <c r="L209" s="42"/>
      <c r="M209" s="42"/>
    </row>
    <row r="210">
      <c r="A210" s="174"/>
      <c r="B210" s="175"/>
      <c r="C210" s="176"/>
      <c r="D210" s="175"/>
      <c r="E210" s="107"/>
      <c r="G210" s="42"/>
      <c r="H210" s="42"/>
      <c r="I210" s="42"/>
      <c r="J210" s="42"/>
      <c r="K210" s="42"/>
      <c r="L210" s="42"/>
      <c r="M210" s="42"/>
    </row>
    <row r="211">
      <c r="A211" s="177"/>
      <c r="B211" s="178"/>
      <c r="C211" s="180"/>
      <c r="D211" s="180"/>
      <c r="E211" s="107"/>
      <c r="G211" s="42"/>
      <c r="H211" s="42"/>
      <c r="I211" s="42"/>
      <c r="J211" s="42"/>
      <c r="K211" s="42"/>
      <c r="L211" s="42"/>
      <c r="M211" s="42"/>
    </row>
    <row r="212">
      <c r="A212" s="177"/>
      <c r="B212" s="178"/>
      <c r="C212" s="180"/>
      <c r="D212" s="180"/>
      <c r="E212" s="107"/>
      <c r="G212" s="42"/>
      <c r="H212" s="42"/>
      <c r="I212" s="42"/>
      <c r="J212" s="42"/>
      <c r="K212" s="42"/>
      <c r="L212" s="42"/>
      <c r="M212" s="42"/>
    </row>
    <row r="213">
      <c r="A213" s="177"/>
      <c r="B213" s="178"/>
      <c r="C213" s="180"/>
      <c r="D213" s="180"/>
      <c r="E213" s="107"/>
      <c r="G213" s="42"/>
      <c r="H213" s="42"/>
      <c r="I213" s="42"/>
      <c r="J213" s="42"/>
      <c r="K213" s="42"/>
      <c r="L213" s="42"/>
      <c r="M213" s="42"/>
    </row>
    <row r="214">
      <c r="A214" s="203"/>
      <c r="B214" s="203"/>
      <c r="C214" s="203"/>
      <c r="D214" s="203"/>
      <c r="E214" s="107"/>
      <c r="G214" s="42"/>
      <c r="H214" s="42"/>
      <c r="I214" s="42"/>
      <c r="J214" s="42"/>
      <c r="K214" s="42"/>
      <c r="L214" s="42"/>
      <c r="M214" s="42"/>
    </row>
    <row r="215">
      <c r="A215" s="203"/>
      <c r="B215" s="203"/>
      <c r="C215" s="203"/>
      <c r="D215" s="203"/>
      <c r="E215" s="107"/>
      <c r="G215" s="42"/>
      <c r="H215" s="42"/>
      <c r="I215" s="42"/>
      <c r="J215" s="42"/>
      <c r="K215" s="42"/>
      <c r="L215" s="42"/>
      <c r="M215" s="42"/>
    </row>
    <row r="216">
      <c r="A216" s="203"/>
      <c r="B216" s="203"/>
      <c r="C216" s="203"/>
      <c r="D216" s="203"/>
      <c r="E216" s="107"/>
      <c r="G216" s="42"/>
      <c r="H216" s="42"/>
      <c r="I216" s="42"/>
      <c r="J216" s="42"/>
      <c r="K216" s="42"/>
      <c r="L216" s="42"/>
      <c r="M216" s="42"/>
    </row>
    <row r="217">
      <c r="A217" s="203"/>
      <c r="B217" s="203"/>
      <c r="C217" s="203"/>
      <c r="D217" s="203"/>
      <c r="E217" s="107"/>
      <c r="G217" s="42"/>
      <c r="H217" s="42"/>
      <c r="I217" s="42"/>
      <c r="J217" s="42"/>
      <c r="K217" s="42"/>
      <c r="L217" s="42"/>
      <c r="M217" s="42"/>
    </row>
    <row r="218">
      <c r="A218" s="203"/>
      <c r="B218" s="203"/>
      <c r="C218" s="203"/>
      <c r="D218" s="203"/>
      <c r="E218" s="107"/>
      <c r="G218" s="42"/>
      <c r="H218" s="42"/>
      <c r="I218" s="42"/>
      <c r="J218" s="42"/>
      <c r="K218" s="42"/>
      <c r="L218" s="42"/>
      <c r="M218" s="42"/>
    </row>
    <row r="219">
      <c r="A219" s="203"/>
      <c r="B219" s="203"/>
      <c r="C219" s="203"/>
      <c r="D219" s="203"/>
      <c r="E219" s="107"/>
      <c r="G219" s="42"/>
      <c r="H219" s="42"/>
      <c r="I219" s="42"/>
      <c r="J219" s="42"/>
      <c r="K219" s="42"/>
      <c r="L219" s="42"/>
      <c r="M219" s="42"/>
    </row>
    <row r="220">
      <c r="A220" s="203"/>
      <c r="B220" s="203"/>
      <c r="C220" s="203"/>
      <c r="D220" s="203"/>
      <c r="E220" s="107"/>
      <c r="G220" s="42"/>
      <c r="H220" s="42"/>
      <c r="I220" s="42"/>
      <c r="J220" s="42"/>
      <c r="K220" s="42"/>
      <c r="L220" s="42"/>
      <c r="M220" s="42"/>
    </row>
    <row r="221">
      <c r="A221" s="203"/>
      <c r="B221" s="203"/>
      <c r="C221" s="203"/>
      <c r="D221" s="203"/>
      <c r="E221" s="107"/>
      <c r="G221" s="42"/>
      <c r="H221" s="42"/>
      <c r="I221" s="42"/>
      <c r="J221" s="42"/>
      <c r="K221" s="42"/>
      <c r="L221" s="42"/>
      <c r="M221" s="42"/>
    </row>
    <row r="222">
      <c r="A222" s="203"/>
      <c r="B222" s="203"/>
      <c r="C222" s="203"/>
      <c r="D222" s="203"/>
      <c r="E222" s="107"/>
      <c r="G222" s="42"/>
      <c r="H222" s="42"/>
      <c r="I222" s="42"/>
      <c r="J222" s="42"/>
      <c r="K222" s="42"/>
      <c r="L222" s="42"/>
      <c r="M222" s="42"/>
    </row>
    <row r="223">
      <c r="A223" s="203"/>
      <c r="B223" s="203"/>
      <c r="C223" s="203"/>
      <c r="D223" s="203"/>
      <c r="E223" s="107"/>
      <c r="G223" s="42"/>
      <c r="H223" s="42"/>
      <c r="I223" s="42"/>
      <c r="J223" s="42"/>
      <c r="K223" s="42"/>
      <c r="L223" s="42"/>
      <c r="M223" s="42"/>
    </row>
    <row r="224">
      <c r="A224" s="203"/>
      <c r="B224" s="203"/>
      <c r="C224" s="203"/>
      <c r="D224" s="203"/>
      <c r="E224" s="132"/>
      <c r="G224" s="42"/>
      <c r="H224" s="42"/>
      <c r="I224" s="42"/>
      <c r="J224" s="42"/>
      <c r="K224" s="42"/>
      <c r="L224" s="42"/>
      <c r="M224" s="42"/>
    </row>
    <row r="225">
      <c r="A225" s="203"/>
      <c r="B225" s="203"/>
      <c r="C225" s="203"/>
      <c r="D225" s="203"/>
      <c r="E225" s="107"/>
      <c r="G225" s="42"/>
      <c r="H225" s="42"/>
      <c r="I225" s="42"/>
      <c r="J225" s="42"/>
      <c r="K225" s="42"/>
      <c r="L225" s="42"/>
      <c r="M225" s="42"/>
    </row>
    <row r="226">
      <c r="A226" s="203"/>
      <c r="B226" s="203"/>
      <c r="C226" s="203"/>
      <c r="D226" s="203"/>
      <c r="E226" s="107"/>
      <c r="G226" s="42"/>
      <c r="H226" s="42"/>
      <c r="I226" s="42"/>
      <c r="J226" s="42"/>
      <c r="K226" s="42"/>
      <c r="L226" s="42"/>
      <c r="M226" s="42"/>
    </row>
    <row r="227">
      <c r="A227" s="203"/>
      <c r="B227" s="203"/>
      <c r="C227" s="203"/>
      <c r="D227" s="203"/>
      <c r="E227" s="107"/>
      <c r="G227" s="42"/>
      <c r="H227" s="42"/>
      <c r="I227" s="42"/>
      <c r="J227" s="42"/>
      <c r="K227" s="42"/>
      <c r="L227" s="42"/>
      <c r="M227" s="42"/>
    </row>
    <row r="228">
      <c r="A228" s="203"/>
      <c r="B228" s="203"/>
      <c r="C228" s="203"/>
      <c r="D228" s="203"/>
      <c r="E228" s="107"/>
      <c r="G228" s="42"/>
      <c r="H228" s="42"/>
      <c r="I228" s="42"/>
      <c r="J228" s="42"/>
      <c r="K228" s="42"/>
      <c r="L228" s="42"/>
      <c r="M228" s="42"/>
    </row>
    <row r="229">
      <c r="A229" s="203"/>
      <c r="B229" s="203"/>
      <c r="C229" s="203"/>
      <c r="D229" s="203"/>
      <c r="E229" s="107"/>
      <c r="G229" s="42"/>
      <c r="H229" s="42"/>
      <c r="I229" s="42"/>
      <c r="J229" s="42"/>
      <c r="K229" s="42"/>
      <c r="L229" s="42"/>
      <c r="M229" s="42"/>
    </row>
    <row r="230">
      <c r="A230" s="203"/>
      <c r="B230" s="203"/>
      <c r="C230" s="203"/>
      <c r="D230" s="203"/>
      <c r="E230" s="107"/>
      <c r="G230" s="42"/>
      <c r="H230" s="42"/>
      <c r="I230" s="42"/>
      <c r="J230" s="42"/>
      <c r="K230" s="42"/>
      <c r="L230" s="42"/>
      <c r="M230" s="42"/>
    </row>
    <row r="231">
      <c r="A231" s="203"/>
      <c r="B231" s="203"/>
      <c r="C231" s="203"/>
      <c r="D231" s="203"/>
      <c r="E231" s="107"/>
      <c r="G231" s="42"/>
      <c r="H231" s="42"/>
      <c r="I231" s="42"/>
      <c r="J231" s="42"/>
      <c r="K231" s="42"/>
      <c r="L231" s="42"/>
      <c r="M231" s="42"/>
    </row>
    <row r="232">
      <c r="A232" s="203"/>
      <c r="B232" s="203"/>
      <c r="C232" s="203"/>
      <c r="D232" s="203"/>
      <c r="E232" s="107"/>
      <c r="G232" s="42"/>
      <c r="H232" s="42"/>
      <c r="I232" s="42"/>
      <c r="J232" s="42"/>
      <c r="K232" s="42"/>
      <c r="L232" s="42"/>
      <c r="M232" s="42"/>
    </row>
    <row r="233">
      <c r="A233" s="181"/>
      <c r="B233" s="178"/>
      <c r="C233" s="182"/>
      <c r="D233" s="183"/>
      <c r="E233" s="107"/>
      <c r="G233" s="42"/>
      <c r="H233" s="42"/>
      <c r="I233" s="42"/>
      <c r="J233" s="42"/>
      <c r="K233" s="42"/>
      <c r="L233" s="42"/>
      <c r="M233" s="42"/>
    </row>
    <row r="234">
      <c r="A234" s="181"/>
      <c r="B234" s="178"/>
      <c r="C234" s="182"/>
      <c r="D234" s="183"/>
      <c r="E234" s="107"/>
      <c r="G234" s="42"/>
      <c r="H234" s="42"/>
      <c r="I234" s="42"/>
      <c r="J234" s="42"/>
      <c r="K234" s="42"/>
      <c r="L234" s="42"/>
      <c r="M234" s="42"/>
    </row>
    <row r="235">
      <c r="A235" s="181"/>
      <c r="B235" s="178"/>
      <c r="C235" s="182"/>
      <c r="D235" s="183"/>
      <c r="E235" s="107"/>
      <c r="G235" s="42"/>
      <c r="H235" s="42"/>
      <c r="I235" s="42"/>
      <c r="J235" s="42"/>
      <c r="K235" s="42"/>
      <c r="L235" s="42"/>
      <c r="M235" s="42"/>
    </row>
    <row r="236">
      <c r="A236" s="181"/>
      <c r="B236" s="178"/>
      <c r="C236" s="182"/>
      <c r="D236" s="183"/>
      <c r="E236" s="107"/>
      <c r="G236" s="42"/>
      <c r="H236" s="42"/>
      <c r="I236" s="42"/>
      <c r="J236" s="42"/>
      <c r="K236" s="42"/>
      <c r="L236" s="42"/>
      <c r="M236" s="42"/>
    </row>
    <row r="237">
      <c r="A237" s="181"/>
      <c r="B237" s="178"/>
      <c r="C237" s="182"/>
      <c r="D237" s="183"/>
      <c r="E237" s="107"/>
      <c r="G237" s="42"/>
      <c r="H237" s="42"/>
      <c r="I237" s="42"/>
      <c r="J237" s="42"/>
      <c r="K237" s="42"/>
      <c r="L237" s="42"/>
      <c r="M237" s="42"/>
    </row>
    <row r="238">
      <c r="A238" s="181"/>
      <c r="B238" s="178"/>
      <c r="C238" s="182"/>
      <c r="D238" s="183"/>
      <c r="E238" s="107"/>
      <c r="G238" s="42"/>
      <c r="H238" s="42"/>
      <c r="I238" s="42"/>
      <c r="J238" s="42"/>
      <c r="K238" s="42"/>
      <c r="L238" s="42"/>
      <c r="M238" s="42"/>
    </row>
    <row r="239">
      <c r="A239" s="181"/>
      <c r="B239" s="178"/>
      <c r="C239" s="182"/>
      <c r="D239" s="183"/>
      <c r="E239" s="107"/>
      <c r="G239" s="42"/>
      <c r="H239" s="42"/>
      <c r="I239" s="42"/>
      <c r="J239" s="42"/>
      <c r="K239" s="42"/>
      <c r="L239" s="42"/>
      <c r="M239" s="42"/>
    </row>
    <row r="240">
      <c r="A240" s="181"/>
      <c r="B240" s="178"/>
      <c r="C240" s="182"/>
      <c r="D240" s="183"/>
      <c r="E240" s="107"/>
      <c r="G240" s="42"/>
      <c r="H240" s="42"/>
      <c r="I240" s="42"/>
      <c r="J240" s="42"/>
      <c r="K240" s="42"/>
      <c r="L240" s="42"/>
      <c r="M240" s="42"/>
    </row>
    <row r="241">
      <c r="A241" s="181"/>
      <c r="B241" s="178"/>
      <c r="C241" s="182"/>
      <c r="D241" s="183"/>
      <c r="E241" s="107"/>
      <c r="G241" s="42"/>
      <c r="H241" s="42"/>
      <c r="I241" s="42"/>
      <c r="J241" s="42"/>
      <c r="K241" s="42"/>
      <c r="L241" s="42"/>
      <c r="M241" s="42"/>
    </row>
    <row r="242">
      <c r="A242" s="181"/>
      <c r="B242" s="178"/>
      <c r="C242" s="182"/>
      <c r="D242" s="183"/>
      <c r="E242" s="107"/>
      <c r="G242" s="42"/>
      <c r="H242" s="42"/>
      <c r="I242" s="42"/>
      <c r="J242" s="42"/>
      <c r="K242" s="42"/>
      <c r="L242" s="42"/>
      <c r="M242" s="42"/>
    </row>
    <row r="243">
      <c r="A243" s="181"/>
      <c r="B243" s="178"/>
      <c r="C243" s="182"/>
      <c r="D243" s="183"/>
      <c r="E243" s="107"/>
      <c r="G243" s="42"/>
      <c r="H243" s="42"/>
      <c r="I243" s="42"/>
      <c r="J243" s="42"/>
      <c r="K243" s="42"/>
      <c r="L243" s="42"/>
      <c r="M243" s="42"/>
    </row>
    <row r="244">
      <c r="A244" s="181"/>
      <c r="B244" s="178"/>
      <c r="C244" s="182"/>
      <c r="D244" s="183"/>
      <c r="E244" s="107"/>
      <c r="G244" s="42"/>
      <c r="H244" s="42"/>
      <c r="I244" s="42"/>
      <c r="J244" s="42"/>
      <c r="K244" s="42"/>
      <c r="L244" s="42"/>
      <c r="M244" s="42"/>
    </row>
    <row r="245">
      <c r="A245" s="181"/>
      <c r="B245" s="178"/>
      <c r="C245" s="182"/>
      <c r="D245" s="183"/>
      <c r="E245" s="107"/>
      <c r="G245" s="42"/>
      <c r="H245" s="42"/>
      <c r="I245" s="42"/>
      <c r="J245" s="42"/>
      <c r="K245" s="42"/>
      <c r="L245" s="42"/>
      <c r="M245" s="42"/>
    </row>
    <row r="246">
      <c r="A246" s="44"/>
      <c r="B246" s="113"/>
      <c r="C246" s="93"/>
      <c r="D246" s="41"/>
      <c r="E246" s="107"/>
      <c r="G246" s="42"/>
      <c r="H246" s="42"/>
      <c r="I246" s="42"/>
      <c r="J246" s="42"/>
      <c r="K246" s="42"/>
      <c r="L246" s="42"/>
      <c r="M246" s="42"/>
    </row>
    <row r="247">
      <c r="A247" s="44"/>
      <c r="B247" s="113"/>
      <c r="C247" s="93"/>
      <c r="D247" s="41"/>
      <c r="E247" s="107"/>
      <c r="G247" s="42"/>
      <c r="H247" s="42"/>
      <c r="I247" s="42"/>
      <c r="J247" s="42"/>
      <c r="K247" s="42"/>
      <c r="L247" s="42"/>
      <c r="M247" s="42"/>
    </row>
    <row r="248">
      <c r="A248" s="44"/>
      <c r="B248" s="113"/>
      <c r="C248" s="93"/>
      <c r="D248" s="41"/>
      <c r="E248" s="107"/>
      <c r="G248" s="42"/>
      <c r="H248" s="42"/>
      <c r="I248" s="42"/>
      <c r="J248" s="42"/>
      <c r="K248" s="42"/>
      <c r="L248" s="42"/>
      <c r="M248" s="42"/>
    </row>
    <row r="249">
      <c r="A249" s="44"/>
      <c r="B249" s="113"/>
      <c r="C249" s="93"/>
      <c r="D249" s="41"/>
      <c r="E249" s="107"/>
      <c r="G249" s="42"/>
      <c r="H249" s="42"/>
      <c r="I249" s="42"/>
      <c r="J249" s="42"/>
      <c r="K249" s="42"/>
      <c r="L249" s="42"/>
      <c r="M249" s="42"/>
    </row>
  </sheetData>
  <autoFilter ref="$A$31:$D$117">
    <sortState ref="A31:D117">
      <sortCondition descending="1" ref="C31:C117"/>
      <sortCondition ref="A31:A117"/>
    </sortState>
  </autoFilter>
  <mergeCells count="23">
    <mergeCell ref="A1:H2"/>
    <mergeCell ref="A4:D4"/>
    <mergeCell ref="G4:H4"/>
    <mergeCell ref="J4:M4"/>
    <mergeCell ref="D93:E93"/>
    <mergeCell ref="D94:E94"/>
    <mergeCell ref="D95:E95"/>
    <mergeCell ref="D96:E96"/>
    <mergeCell ref="D97:E97"/>
    <mergeCell ref="D98:E98"/>
    <mergeCell ref="D100:E100"/>
    <mergeCell ref="D101:E101"/>
    <mergeCell ref="D102:E102"/>
    <mergeCell ref="D103:E103"/>
    <mergeCell ref="D111:E111"/>
    <mergeCell ref="D117:E117"/>
    <mergeCell ref="D104:E104"/>
    <mergeCell ref="D105:E105"/>
    <mergeCell ref="D106:E106"/>
    <mergeCell ref="D107:E107"/>
    <mergeCell ref="D108:E108"/>
    <mergeCell ref="D109:E109"/>
    <mergeCell ref="D110:E110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7 D32 D34 D48 D64:D65 B31:B92 B98:B102 B107:B117 D135 D138 D140 D142 D145 D150 D152 D156 D159:D160 D165:D167 D170:D171 D173 D176:D181 D183:D186 D188 B119:B191 D190:D192 D199:D204 D208:D210 B193:B213 B233:B249">
      <formula1>'Hidden list and Figures'!$A$3:$A$15</formula1>
    </dataValidation>
    <dataValidation type="custom" allowBlank="1" showDropDown="1" showInputMessage="1" prompt="Select a date" sqref="A32:A45 A47:A48 A51 A53:A55 A58 A60:A91 A98:A102 A107:A117 A119:A213 A233:A249">
      <formula1>OR(NOT(ISERROR(DATEVALUE(A32))), AND(ISNUMBER(A32), LEFT(CELL("format", A32))="D"))</formula1>
    </dataValidation>
    <dataValidation type="list" allowBlank="1" sqref="B28:B30 B93:B97 B103:B106 B192 B214:B232">
      <formula1>'Hidden list and Figures'!$A$3:$A$15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sumif($B$20:$C$570,A6,$C$20:$C$570)</f>
        <v>1772.356667</v>
      </c>
      <c r="D6" s="17">
        <f t="shared" ref="D6:D16" si="2">B6-C6</f>
        <v>891.3233333</v>
      </c>
      <c r="E6" s="18">
        <f t="shared" ref="E6:E17" si="3">D6/B6</f>
        <v>0.3346210255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3038.0</v>
      </c>
    </row>
    <row r="8">
      <c r="A8" s="21" t="s">
        <v>14</v>
      </c>
      <c r="B8" s="22">
        <v>250.0</v>
      </c>
      <c r="C8" s="16">
        <f t="shared" si="1"/>
        <v>147.98</v>
      </c>
      <c r="D8" s="23">
        <f t="shared" si="2"/>
        <v>102.02</v>
      </c>
      <c r="E8" s="18">
        <f t="shared" si="3"/>
        <v>0.40808</v>
      </c>
      <c r="G8" s="64" t="s">
        <v>27</v>
      </c>
      <c r="H8" s="92">
        <f>SUM(H6:H7)</f>
        <v>3038</v>
      </c>
    </row>
    <row r="9">
      <c r="A9" s="24" t="s">
        <v>15</v>
      </c>
      <c r="B9" s="22">
        <v>400.0</v>
      </c>
      <c r="C9" s="16">
        <f t="shared" si="1"/>
        <v>882.56</v>
      </c>
      <c r="D9" s="23">
        <f t="shared" si="2"/>
        <v>-482.56</v>
      </c>
      <c r="E9" s="18">
        <f t="shared" si="3"/>
        <v>-1.2064</v>
      </c>
    </row>
    <row r="10">
      <c r="A10" s="24" t="s">
        <v>17</v>
      </c>
      <c r="B10" s="22">
        <v>400.0</v>
      </c>
      <c r="C10" s="16">
        <f t="shared" si="1"/>
        <v>617.18</v>
      </c>
      <c r="D10" s="23">
        <f t="shared" si="2"/>
        <v>-217.18</v>
      </c>
      <c r="E10" s="18">
        <f t="shared" si="3"/>
        <v>-0.54295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1667.12</v>
      </c>
      <c r="D11" s="23">
        <f t="shared" si="2"/>
        <v>-1467.12</v>
      </c>
      <c r="E11" s="18">
        <f t="shared" si="3"/>
        <v>-7.3356</v>
      </c>
      <c r="G11" s="19" t="s">
        <v>18</v>
      </c>
      <c r="H11" s="14">
        <f>sum(C17)</f>
        <v>6102.786667</v>
      </c>
    </row>
    <row r="12">
      <c r="A12" s="24" t="s">
        <v>79</v>
      </c>
      <c r="B12" s="22">
        <v>500.0</v>
      </c>
      <c r="C12" s="16">
        <f t="shared" si="1"/>
        <v>399.35</v>
      </c>
      <c r="D12" s="23">
        <f t="shared" si="2"/>
        <v>100.65</v>
      </c>
      <c r="E12" s="18">
        <f t="shared" si="3"/>
        <v>0.2013</v>
      </c>
      <c r="H12" s="14"/>
    </row>
    <row r="13">
      <c r="A13" s="25" t="s">
        <v>22</v>
      </c>
      <c r="B13" s="22">
        <v>200.0</v>
      </c>
      <c r="C13" s="16">
        <f t="shared" si="1"/>
        <v>71.84</v>
      </c>
      <c r="D13" s="23">
        <f t="shared" si="2"/>
        <v>128.16</v>
      </c>
      <c r="E13" s="18">
        <f t="shared" si="3"/>
        <v>0.6408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125.39</v>
      </c>
      <c r="D14" s="23">
        <f t="shared" si="2"/>
        <v>-125.39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419.01</v>
      </c>
      <c r="D15" s="28">
        <f t="shared" si="2"/>
        <v>-119.01</v>
      </c>
      <c r="E15" s="18">
        <f t="shared" si="3"/>
        <v>-0.3967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SUMIF($B$20:$C$284,"Travel",$C$20:$C$284)</f>
        <v>399.35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6102.786667</v>
      </c>
      <c r="D17" s="31">
        <f>SUM(D6:D15)</f>
        <v>-1189.106667</v>
      </c>
      <c r="E17" s="18">
        <f t="shared" si="3"/>
        <v>-0.2419992077</v>
      </c>
      <c r="F17" s="36"/>
      <c r="G17" s="13" t="s">
        <v>28</v>
      </c>
      <c r="H17" s="33">
        <f>500-SUMIF($B$20:$C$284,"Travel",$C$20:$C$284)+'April 2024'!H17</f>
        <v>603.89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90.0</v>
      </c>
      <c r="D21" s="95" t="s">
        <v>36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102">
        <f>460/6</f>
        <v>76.66666667</v>
      </c>
      <c r="D22" s="41" t="s">
        <v>23</v>
      </c>
      <c r="E22" s="41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2.87</v>
      </c>
      <c r="D23" s="41" t="s">
        <v>39</v>
      </c>
      <c r="E23" s="41"/>
      <c r="G23" s="42"/>
      <c r="H23" s="40"/>
      <c r="I23" s="42"/>
      <c r="J23" s="40"/>
      <c r="K23" s="42"/>
      <c r="L23" s="42"/>
      <c r="M23" s="42"/>
    </row>
    <row r="24">
      <c r="A24" s="40" t="s">
        <v>32</v>
      </c>
      <c r="B24" s="40" t="s">
        <v>10</v>
      </c>
      <c r="C24" s="41">
        <v>2.99</v>
      </c>
      <c r="D24" s="41" t="s">
        <v>40</v>
      </c>
      <c r="E24" s="41"/>
      <c r="G24" s="40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5.83</v>
      </c>
      <c r="D25" s="41" t="s">
        <v>41</v>
      </c>
      <c r="E25" s="41"/>
      <c r="G25" s="40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6.0</v>
      </c>
      <c r="D26" s="41" t="s">
        <v>83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112.0</v>
      </c>
      <c r="D27" s="41" t="s">
        <v>42</v>
      </c>
      <c r="E27" s="41"/>
      <c r="G27" s="42"/>
      <c r="H27" s="40"/>
      <c r="I27" s="42"/>
      <c r="J27" s="42"/>
      <c r="K27" s="42"/>
      <c r="L27" s="42"/>
      <c r="M27" s="42"/>
    </row>
    <row r="28">
      <c r="E28" s="41"/>
      <c r="G28" s="40"/>
      <c r="H28" s="42"/>
      <c r="I28" s="42"/>
      <c r="J28" s="42"/>
      <c r="K28" s="42"/>
      <c r="L28" s="42"/>
      <c r="M28" s="42"/>
    </row>
    <row r="29">
      <c r="E29" s="41"/>
      <c r="G29" s="42"/>
      <c r="H29" s="42"/>
      <c r="I29" s="42"/>
      <c r="J29" s="42"/>
      <c r="K29" s="42"/>
      <c r="L29" s="42"/>
      <c r="M29" s="42"/>
    </row>
    <row r="30">
      <c r="A30" s="38" t="s">
        <v>29</v>
      </c>
      <c r="B30" s="38" t="s">
        <v>4</v>
      </c>
      <c r="C30" s="39" t="s">
        <v>30</v>
      </c>
      <c r="D30" s="38" t="s">
        <v>31</v>
      </c>
      <c r="E30" s="41"/>
      <c r="G30" s="40"/>
      <c r="H30" s="42"/>
      <c r="I30" s="42"/>
      <c r="J30" s="42"/>
      <c r="K30" s="42"/>
      <c r="L30" s="42"/>
      <c r="M30" s="42"/>
    </row>
    <row r="31">
      <c r="A31" s="80"/>
      <c r="B31" s="40"/>
      <c r="C31" s="41"/>
      <c r="D31" s="41"/>
      <c r="E31" s="41"/>
      <c r="G31" s="40"/>
      <c r="H31" s="42"/>
      <c r="I31" s="42"/>
      <c r="J31" s="42"/>
      <c r="K31" s="42"/>
      <c r="L31" s="42"/>
      <c r="M31" s="42"/>
    </row>
    <row r="32" ht="18.0" hidden="1" customHeight="1">
      <c r="A32" s="197">
        <v>45832.0</v>
      </c>
      <c r="B32" s="198" t="s">
        <v>17</v>
      </c>
      <c r="C32" s="199">
        <v>60.0</v>
      </c>
      <c r="D32" s="198" t="s">
        <v>1265</v>
      </c>
      <c r="E32" s="137"/>
      <c r="G32" s="42"/>
      <c r="H32" s="42"/>
      <c r="I32" s="42"/>
      <c r="J32" s="42"/>
      <c r="K32" s="42"/>
      <c r="L32" s="42"/>
      <c r="M32" s="42"/>
    </row>
    <row r="33" hidden="1">
      <c r="A33" s="197">
        <v>45833.0</v>
      </c>
      <c r="B33" s="198" t="s">
        <v>25</v>
      </c>
      <c r="C33" s="199">
        <v>365.25</v>
      </c>
      <c r="D33" s="200" t="s">
        <v>1266</v>
      </c>
      <c r="E33" s="137"/>
      <c r="G33" s="42"/>
      <c r="H33" s="42"/>
      <c r="I33" s="42"/>
      <c r="J33" s="42"/>
      <c r="K33" s="42"/>
      <c r="L33" s="42"/>
      <c r="M33" s="42"/>
    </row>
    <row r="34" hidden="1">
      <c r="A34" s="197">
        <v>45835.0</v>
      </c>
      <c r="B34" s="198" t="s">
        <v>19</v>
      </c>
      <c r="C34" s="199">
        <v>96.0</v>
      </c>
      <c r="D34" s="198" t="s">
        <v>545</v>
      </c>
      <c r="E34" s="137"/>
      <c r="G34" s="42"/>
      <c r="H34" s="42"/>
      <c r="I34" s="42"/>
      <c r="J34" s="42"/>
      <c r="K34" s="42"/>
      <c r="L34" s="42"/>
      <c r="M34" s="42"/>
    </row>
    <row r="35" hidden="1">
      <c r="A35" s="197">
        <v>45809.0</v>
      </c>
      <c r="B35" s="198" t="s">
        <v>19</v>
      </c>
      <c r="C35" s="199">
        <v>63.59</v>
      </c>
      <c r="D35" s="200" t="s">
        <v>1267</v>
      </c>
      <c r="E35" s="137"/>
      <c r="G35" s="42"/>
      <c r="H35" s="42"/>
      <c r="I35" s="42"/>
      <c r="J35" s="42"/>
      <c r="K35" s="42"/>
      <c r="L35" s="42"/>
      <c r="M35" s="42"/>
    </row>
    <row r="36" hidden="1">
      <c r="A36" s="197">
        <v>45809.0</v>
      </c>
      <c r="B36" s="198" t="s">
        <v>79</v>
      </c>
      <c r="C36" s="199">
        <v>231.35</v>
      </c>
      <c r="D36" s="200" t="s">
        <v>1268</v>
      </c>
      <c r="E36" s="137"/>
      <c r="G36" s="42"/>
      <c r="H36" s="42"/>
      <c r="I36" s="42"/>
      <c r="J36" s="42"/>
      <c r="K36" s="42"/>
      <c r="L36" s="42"/>
      <c r="M36" s="42"/>
    </row>
    <row r="37" hidden="1">
      <c r="A37" s="197">
        <v>45810.0</v>
      </c>
      <c r="B37" s="198" t="s">
        <v>17</v>
      </c>
      <c r="C37" s="199">
        <v>4.34</v>
      </c>
      <c r="D37" s="200" t="s">
        <v>1269</v>
      </c>
      <c r="E37" s="137"/>
      <c r="G37" s="42"/>
      <c r="H37" s="42"/>
      <c r="I37" s="42"/>
      <c r="J37" s="42"/>
      <c r="K37" s="42"/>
      <c r="L37" s="42"/>
      <c r="M37" s="42"/>
    </row>
    <row r="38" hidden="1">
      <c r="A38" s="197">
        <v>45810.0</v>
      </c>
      <c r="B38" s="198" t="s">
        <v>17</v>
      </c>
      <c r="C38" s="199">
        <v>23.67</v>
      </c>
      <c r="D38" s="200" t="s">
        <v>1270</v>
      </c>
      <c r="E38" s="137"/>
      <c r="G38" s="42"/>
      <c r="H38" s="42"/>
      <c r="I38" s="42"/>
      <c r="J38" s="42"/>
      <c r="K38" s="42"/>
      <c r="L38" s="42"/>
      <c r="M38" s="42"/>
    </row>
    <row r="39">
      <c r="A39" s="197">
        <v>45810.0</v>
      </c>
      <c r="B39" s="198" t="s">
        <v>15</v>
      </c>
      <c r="C39" s="199">
        <v>503.61</v>
      </c>
      <c r="D39" s="200" t="s">
        <v>1271</v>
      </c>
      <c r="E39" s="164"/>
      <c r="G39" s="42"/>
      <c r="H39" s="42"/>
      <c r="I39" s="42"/>
      <c r="J39" s="42"/>
      <c r="K39" s="42"/>
      <c r="L39" s="42"/>
      <c r="M39" s="42"/>
    </row>
    <row r="40">
      <c r="A40" s="197">
        <v>45810.0</v>
      </c>
      <c r="B40" s="198" t="s">
        <v>15</v>
      </c>
      <c r="C40" s="199">
        <v>5.81</v>
      </c>
      <c r="D40" s="200" t="s">
        <v>1271</v>
      </c>
      <c r="E40" s="137"/>
      <c r="G40" s="42"/>
      <c r="H40" s="42"/>
      <c r="I40" s="42"/>
      <c r="J40" s="42"/>
      <c r="K40" s="42"/>
      <c r="L40" s="42"/>
      <c r="M40" s="42"/>
    </row>
    <row r="41" hidden="1">
      <c r="A41" s="197">
        <v>45810.0</v>
      </c>
      <c r="B41" s="198" t="s">
        <v>17</v>
      </c>
      <c r="C41" s="199">
        <v>64.41</v>
      </c>
      <c r="D41" s="200" t="s">
        <v>1098</v>
      </c>
      <c r="E41" s="137"/>
      <c r="G41" s="42"/>
      <c r="H41" s="42"/>
      <c r="I41" s="42"/>
      <c r="J41" s="42"/>
      <c r="K41" s="42"/>
      <c r="L41" s="42"/>
      <c r="M41" s="42"/>
    </row>
    <row r="42" hidden="1">
      <c r="A42" s="197">
        <v>45811.0</v>
      </c>
      <c r="B42" s="198" t="s">
        <v>14</v>
      </c>
      <c r="C42" s="199">
        <v>2.99</v>
      </c>
      <c r="D42" s="201" t="s">
        <v>400</v>
      </c>
      <c r="E42" s="137"/>
      <c r="G42" s="42"/>
      <c r="H42" s="42"/>
      <c r="I42" s="42"/>
      <c r="J42" s="42"/>
      <c r="K42" s="42"/>
      <c r="L42" s="42"/>
      <c r="M42" s="42"/>
    </row>
    <row r="43" hidden="1">
      <c r="A43" s="197">
        <v>45811.0</v>
      </c>
      <c r="B43" s="198" t="s">
        <v>24</v>
      </c>
      <c r="C43" s="199">
        <v>125.39</v>
      </c>
      <c r="D43" s="200" t="s">
        <v>1272</v>
      </c>
      <c r="E43" s="137"/>
      <c r="G43" s="42"/>
      <c r="H43" s="42"/>
      <c r="I43" s="42"/>
      <c r="J43" s="42"/>
      <c r="K43" s="42"/>
      <c r="L43" s="42"/>
      <c r="M43" s="42"/>
    </row>
    <row r="44" hidden="1">
      <c r="A44" s="206">
        <v>45811.0</v>
      </c>
      <c r="B44" s="198" t="s">
        <v>17</v>
      </c>
      <c r="C44" s="199">
        <v>3.2</v>
      </c>
      <c r="D44" s="200" t="s">
        <v>1273</v>
      </c>
      <c r="E44" s="107"/>
      <c r="G44" s="42"/>
      <c r="H44" s="42"/>
      <c r="I44" s="42"/>
      <c r="J44" s="42"/>
      <c r="K44" s="42"/>
      <c r="L44" s="42"/>
      <c r="M44" s="42"/>
    </row>
    <row r="45" hidden="1">
      <c r="A45" s="197">
        <v>45811.0</v>
      </c>
      <c r="B45" s="198" t="s">
        <v>19</v>
      </c>
      <c r="C45" s="199">
        <v>40.86</v>
      </c>
      <c r="D45" s="200" t="s">
        <v>1189</v>
      </c>
      <c r="E45" s="107"/>
      <c r="G45" s="42"/>
      <c r="H45" s="42"/>
      <c r="I45" s="42"/>
      <c r="J45" s="42"/>
      <c r="K45" s="42"/>
      <c r="L45" s="42"/>
      <c r="M45" s="42"/>
    </row>
    <row r="46" hidden="1">
      <c r="A46" s="197">
        <v>45811.0</v>
      </c>
      <c r="B46" s="198" t="s">
        <v>19</v>
      </c>
      <c r="C46" s="199">
        <v>44.04</v>
      </c>
      <c r="D46" s="198" t="s">
        <v>1274</v>
      </c>
      <c r="E46" s="107"/>
      <c r="G46" s="42"/>
      <c r="H46" s="42"/>
      <c r="I46" s="42"/>
      <c r="J46" s="42"/>
      <c r="K46" s="42"/>
      <c r="L46" s="42"/>
      <c r="M46" s="42"/>
    </row>
    <row r="47" hidden="1">
      <c r="A47" s="207">
        <v>45812.0</v>
      </c>
      <c r="B47" s="198" t="s">
        <v>19</v>
      </c>
      <c r="C47" s="208">
        <v>104.94</v>
      </c>
      <c r="D47" s="198" t="s">
        <v>1275</v>
      </c>
      <c r="E47" s="107"/>
      <c r="G47" s="42"/>
      <c r="H47" s="42"/>
      <c r="I47" s="42"/>
      <c r="J47" s="42"/>
      <c r="K47" s="42"/>
      <c r="L47" s="42"/>
      <c r="M47" s="42"/>
    </row>
    <row r="48" hidden="1">
      <c r="A48" s="207">
        <v>45812.0</v>
      </c>
      <c r="B48" s="198" t="s">
        <v>19</v>
      </c>
      <c r="C48" s="208">
        <v>6.4</v>
      </c>
      <c r="D48" s="198" t="s">
        <v>1276</v>
      </c>
      <c r="E48" s="107"/>
      <c r="G48" s="42"/>
      <c r="H48" s="42"/>
      <c r="I48" s="42"/>
      <c r="J48" s="42"/>
      <c r="K48" s="42"/>
      <c r="L48" s="42"/>
      <c r="M48" s="42"/>
    </row>
    <row r="49" hidden="1">
      <c r="A49" s="197">
        <v>45816.0</v>
      </c>
      <c r="B49" s="198" t="s">
        <v>17</v>
      </c>
      <c r="C49" s="199">
        <v>39.52</v>
      </c>
      <c r="D49" s="200" t="s">
        <v>1277</v>
      </c>
      <c r="E49" s="107"/>
      <c r="G49" s="42"/>
      <c r="H49" s="42"/>
      <c r="I49" s="42"/>
      <c r="J49" s="42"/>
      <c r="K49" s="42"/>
      <c r="L49" s="42"/>
      <c r="M49" s="42"/>
    </row>
    <row r="50" hidden="1">
      <c r="A50" s="207">
        <v>45823.0</v>
      </c>
      <c r="B50" s="198" t="s">
        <v>17</v>
      </c>
      <c r="C50" s="208">
        <v>53.22</v>
      </c>
      <c r="D50" s="198" t="s">
        <v>1278</v>
      </c>
      <c r="E50" s="107"/>
      <c r="G50" s="42"/>
      <c r="H50" s="42"/>
      <c r="I50" s="42"/>
      <c r="J50" s="42"/>
      <c r="K50" s="42"/>
      <c r="L50" s="42"/>
      <c r="M50" s="42"/>
    </row>
    <row r="51" hidden="1">
      <c r="A51" s="207">
        <v>45824.0</v>
      </c>
      <c r="B51" s="198" t="s">
        <v>19</v>
      </c>
      <c r="C51" s="208">
        <v>199.28</v>
      </c>
      <c r="D51" s="198" t="s">
        <v>1279</v>
      </c>
      <c r="E51" s="107"/>
      <c r="G51" s="42"/>
      <c r="H51" s="42"/>
      <c r="I51" s="42"/>
      <c r="J51" s="42"/>
      <c r="K51" s="42"/>
      <c r="L51" s="42"/>
      <c r="M51" s="42"/>
    </row>
    <row r="52" hidden="1">
      <c r="A52" s="197">
        <v>45825.0</v>
      </c>
      <c r="B52" s="198" t="s">
        <v>17</v>
      </c>
      <c r="C52" s="199">
        <v>21.8</v>
      </c>
      <c r="D52" s="200" t="s">
        <v>1280</v>
      </c>
      <c r="E52" s="107"/>
      <c r="G52" s="42"/>
      <c r="H52" s="42"/>
      <c r="I52" s="42"/>
      <c r="J52" s="42"/>
      <c r="K52" s="42"/>
      <c r="L52" s="42"/>
      <c r="M52" s="42"/>
    </row>
    <row r="53" hidden="1">
      <c r="A53" s="207">
        <v>45826.0</v>
      </c>
      <c r="B53" s="198" t="s">
        <v>22</v>
      </c>
      <c r="C53" s="208">
        <v>21.85</v>
      </c>
      <c r="D53" s="198" t="s">
        <v>1281</v>
      </c>
      <c r="E53" s="107"/>
      <c r="G53" s="42"/>
      <c r="H53" s="42"/>
      <c r="I53" s="42"/>
      <c r="J53" s="42"/>
      <c r="K53" s="42"/>
      <c r="L53" s="42"/>
      <c r="M53" s="42"/>
    </row>
    <row r="54" hidden="1">
      <c r="A54" s="197">
        <v>45826.0</v>
      </c>
      <c r="B54" s="198" t="s">
        <v>25</v>
      </c>
      <c r="C54" s="199">
        <v>38.05</v>
      </c>
      <c r="D54" s="200" t="s">
        <v>1180</v>
      </c>
      <c r="E54" s="107"/>
      <c r="G54" s="42"/>
      <c r="H54" s="42"/>
      <c r="I54" s="42"/>
      <c r="J54" s="42"/>
      <c r="K54" s="42"/>
      <c r="L54" s="42"/>
      <c r="M54" s="42"/>
    </row>
    <row r="55" hidden="1">
      <c r="A55" s="197">
        <v>45827.0</v>
      </c>
      <c r="B55" s="198" t="s">
        <v>17</v>
      </c>
      <c r="C55" s="199">
        <v>9.3</v>
      </c>
      <c r="D55" s="200" t="s">
        <v>1282</v>
      </c>
      <c r="E55" s="107"/>
      <c r="G55" s="42"/>
      <c r="H55" s="42"/>
      <c r="I55" s="42"/>
      <c r="J55" s="42"/>
      <c r="K55" s="42"/>
      <c r="L55" s="42"/>
      <c r="M55" s="42"/>
    </row>
    <row r="56" hidden="1">
      <c r="A56" s="197">
        <v>45827.0</v>
      </c>
      <c r="B56" s="198" t="s">
        <v>25</v>
      </c>
      <c r="C56" s="199">
        <v>10.71</v>
      </c>
      <c r="D56" s="200" t="s">
        <v>1283</v>
      </c>
      <c r="E56" s="107"/>
      <c r="G56" s="42"/>
      <c r="H56" s="42"/>
      <c r="I56" s="42"/>
      <c r="J56" s="42"/>
      <c r="K56" s="42"/>
      <c r="L56" s="42"/>
      <c r="M56" s="42"/>
    </row>
    <row r="57" hidden="1">
      <c r="A57" s="197">
        <v>45830.0</v>
      </c>
      <c r="B57" s="198" t="s">
        <v>17</v>
      </c>
      <c r="C57" s="199">
        <v>19.53</v>
      </c>
      <c r="D57" s="200" t="s">
        <v>1284</v>
      </c>
      <c r="E57" s="107"/>
      <c r="G57" s="42"/>
      <c r="H57" s="42"/>
      <c r="I57" s="42"/>
      <c r="J57" s="42"/>
      <c r="K57" s="42"/>
      <c r="L57" s="42"/>
      <c r="M57" s="42"/>
    </row>
    <row r="58" hidden="1">
      <c r="A58" s="197">
        <v>45830.0</v>
      </c>
      <c r="B58" s="198" t="s">
        <v>17</v>
      </c>
      <c r="C58" s="199">
        <v>9.9</v>
      </c>
      <c r="D58" s="198" t="s">
        <v>1285</v>
      </c>
      <c r="E58" s="107"/>
      <c r="G58" s="42"/>
      <c r="H58" s="42"/>
      <c r="I58" s="42"/>
      <c r="J58" s="42"/>
      <c r="K58" s="42"/>
      <c r="L58" s="42"/>
      <c r="M58" s="42"/>
    </row>
    <row r="59" hidden="1">
      <c r="A59" s="197">
        <v>45830.0</v>
      </c>
      <c r="B59" s="198" t="s">
        <v>22</v>
      </c>
      <c r="C59" s="199">
        <v>4.99</v>
      </c>
      <c r="D59" s="209" t="s">
        <v>1286</v>
      </c>
      <c r="E59" s="107"/>
      <c r="G59" s="42"/>
      <c r="H59" s="42"/>
      <c r="I59" s="42"/>
      <c r="J59" s="42"/>
      <c r="K59" s="42"/>
      <c r="L59" s="42"/>
      <c r="M59" s="42"/>
    </row>
    <row r="60" hidden="1">
      <c r="A60" s="197">
        <v>45831.0</v>
      </c>
      <c r="B60" s="213"/>
      <c r="C60" s="199">
        <v>244.0</v>
      </c>
      <c r="D60" s="200" t="s">
        <v>1287</v>
      </c>
      <c r="E60" s="216" t="s">
        <v>1288</v>
      </c>
      <c r="G60" s="42"/>
      <c r="H60" s="42"/>
      <c r="I60" s="42"/>
      <c r="J60" s="42"/>
      <c r="K60" s="42"/>
      <c r="L60" s="42"/>
      <c r="M60" s="42"/>
    </row>
    <row r="61" hidden="1">
      <c r="A61" s="197">
        <v>45832.0</v>
      </c>
      <c r="B61" s="198" t="s">
        <v>17</v>
      </c>
      <c r="C61" s="199">
        <v>9.3</v>
      </c>
      <c r="D61" s="200" t="s">
        <v>1282</v>
      </c>
      <c r="E61" s="107"/>
      <c r="G61" s="42"/>
      <c r="H61" s="42"/>
      <c r="I61" s="42"/>
      <c r="J61" s="42"/>
      <c r="K61" s="42"/>
      <c r="L61" s="42"/>
      <c r="M61" s="42"/>
    </row>
    <row r="62" hidden="1">
      <c r="A62" s="197">
        <v>45833.0</v>
      </c>
      <c r="B62" s="198" t="s">
        <v>25</v>
      </c>
      <c r="C62" s="199">
        <v>5.0</v>
      </c>
      <c r="D62" s="200" t="s">
        <v>1289</v>
      </c>
      <c r="E62" s="107"/>
      <c r="G62" s="42"/>
      <c r="H62" s="42"/>
      <c r="I62" s="42"/>
      <c r="J62" s="42"/>
      <c r="K62" s="42"/>
      <c r="L62" s="42"/>
      <c r="M62" s="42"/>
    </row>
    <row r="63" hidden="1">
      <c r="A63" s="197">
        <v>45833.0</v>
      </c>
      <c r="B63" s="198" t="s">
        <v>17</v>
      </c>
      <c r="C63" s="199">
        <v>9.65</v>
      </c>
      <c r="D63" s="200" t="s">
        <v>1282</v>
      </c>
      <c r="E63" s="107"/>
      <c r="G63" s="42"/>
      <c r="H63" s="42"/>
      <c r="I63" s="42"/>
      <c r="J63" s="42"/>
      <c r="K63" s="42"/>
      <c r="L63" s="42"/>
      <c r="M63" s="42"/>
    </row>
    <row r="64" hidden="1">
      <c r="A64" s="197">
        <v>45834.0</v>
      </c>
      <c r="B64" s="198" t="s">
        <v>17</v>
      </c>
      <c r="C64" s="199">
        <v>11.65</v>
      </c>
      <c r="D64" s="200" t="s">
        <v>1290</v>
      </c>
      <c r="E64" s="107"/>
      <c r="G64" s="42"/>
      <c r="H64" s="42"/>
      <c r="I64" s="42"/>
      <c r="J64" s="42"/>
      <c r="K64" s="42"/>
      <c r="L64" s="42"/>
      <c r="M64" s="42"/>
    </row>
    <row r="65" ht="18.75" hidden="1" customHeight="1">
      <c r="A65" s="197">
        <v>45835.0</v>
      </c>
      <c r="B65" s="198" t="s">
        <v>17</v>
      </c>
      <c r="C65" s="199">
        <v>9.15</v>
      </c>
      <c r="D65" s="200" t="s">
        <v>1280</v>
      </c>
      <c r="E65" s="107"/>
      <c r="G65" s="42"/>
      <c r="H65" s="42"/>
      <c r="I65" s="42"/>
      <c r="J65" s="42"/>
      <c r="K65" s="42"/>
      <c r="L65" s="42"/>
      <c r="M65" s="42"/>
    </row>
    <row r="66">
      <c r="A66" s="197">
        <v>45837.0</v>
      </c>
      <c r="B66" s="198" t="s">
        <v>15</v>
      </c>
      <c r="C66" s="199">
        <v>325.08</v>
      </c>
      <c r="D66" s="200" t="s">
        <v>1291</v>
      </c>
      <c r="E66" s="107"/>
      <c r="G66" s="42"/>
      <c r="H66" s="42"/>
      <c r="I66" s="42"/>
      <c r="J66" s="42"/>
      <c r="K66" s="42"/>
      <c r="L66" s="42"/>
      <c r="M66" s="42"/>
    </row>
    <row r="67" hidden="1">
      <c r="A67" s="197">
        <v>45837.0</v>
      </c>
      <c r="B67" s="198" t="s">
        <v>14</v>
      </c>
      <c r="C67" s="199">
        <v>0.99</v>
      </c>
      <c r="D67" s="201" t="s">
        <v>400</v>
      </c>
      <c r="E67" s="107"/>
      <c r="G67" s="42"/>
      <c r="H67" s="42"/>
      <c r="I67" s="42"/>
      <c r="J67" s="42"/>
      <c r="K67" s="42"/>
      <c r="L67" s="42"/>
      <c r="M67" s="42"/>
    </row>
    <row r="68" hidden="1">
      <c r="A68" s="197">
        <v>45815.0</v>
      </c>
      <c r="B68" s="198" t="s">
        <v>17</v>
      </c>
      <c r="C68" s="199">
        <v>18.0</v>
      </c>
      <c r="D68" s="200" t="s">
        <v>1292</v>
      </c>
      <c r="E68" s="107"/>
      <c r="G68" s="42"/>
      <c r="H68" s="42"/>
      <c r="I68" s="42"/>
      <c r="J68" s="42"/>
      <c r="K68" s="42"/>
      <c r="L68" s="42"/>
      <c r="M68" s="42"/>
    </row>
    <row r="69" hidden="1">
      <c r="A69" s="197">
        <v>45815.0</v>
      </c>
      <c r="B69" s="198" t="s">
        <v>17</v>
      </c>
      <c r="C69" s="199">
        <v>75.0</v>
      </c>
      <c r="D69" s="200" t="s">
        <v>1293</v>
      </c>
      <c r="E69" s="107"/>
      <c r="G69" s="42"/>
      <c r="H69" s="42"/>
      <c r="I69" s="42"/>
      <c r="J69" s="42"/>
      <c r="K69" s="42"/>
      <c r="L69" s="42"/>
      <c r="M69" s="42"/>
    </row>
    <row r="70">
      <c r="A70" s="197"/>
      <c r="B70" s="198" t="s">
        <v>15</v>
      </c>
      <c r="C70" s="199">
        <v>-267.0</v>
      </c>
      <c r="D70" s="200" t="s">
        <v>1294</v>
      </c>
      <c r="E70" s="107"/>
      <c r="G70" s="42"/>
      <c r="H70" s="42"/>
      <c r="I70" s="42"/>
      <c r="J70" s="42"/>
      <c r="K70" s="42"/>
      <c r="L70" s="42"/>
      <c r="M70" s="42"/>
    </row>
    <row r="71" hidden="1">
      <c r="A71" s="197"/>
      <c r="B71" s="198" t="s">
        <v>19</v>
      </c>
      <c r="C71" s="199">
        <v>145.15</v>
      </c>
      <c r="D71" s="200" t="s">
        <v>1295</v>
      </c>
      <c r="E71" s="107"/>
      <c r="G71" s="42"/>
      <c r="H71" s="42"/>
      <c r="I71" s="42"/>
      <c r="J71" s="42"/>
      <c r="K71" s="42"/>
      <c r="L71" s="42"/>
      <c r="M71" s="42"/>
    </row>
    <row r="72" hidden="1">
      <c r="A72" s="197"/>
      <c r="B72" s="198" t="s">
        <v>19</v>
      </c>
      <c r="C72" s="199">
        <v>80.0</v>
      </c>
      <c r="D72" s="200" t="s">
        <v>1296</v>
      </c>
      <c r="E72" s="107"/>
      <c r="G72" s="42"/>
      <c r="H72" s="42"/>
      <c r="I72" s="42"/>
      <c r="J72" s="42"/>
      <c r="K72" s="42"/>
      <c r="L72" s="42"/>
      <c r="M72" s="42"/>
    </row>
    <row r="73" hidden="1">
      <c r="A73" s="197"/>
      <c r="B73" s="198" t="s">
        <v>19</v>
      </c>
      <c r="C73" s="199">
        <v>273.0</v>
      </c>
      <c r="D73" s="200" t="s">
        <v>1297</v>
      </c>
      <c r="E73" s="107"/>
      <c r="G73" s="42"/>
      <c r="H73" s="42"/>
      <c r="I73" s="42"/>
      <c r="J73" s="42"/>
      <c r="K73" s="42"/>
      <c r="L73" s="42"/>
      <c r="M73" s="42"/>
    </row>
    <row r="74" hidden="1">
      <c r="A74" s="197"/>
      <c r="B74" s="198" t="s">
        <v>79</v>
      </c>
      <c r="C74" s="199">
        <v>168.0</v>
      </c>
      <c r="D74" s="200" t="s">
        <v>1298</v>
      </c>
      <c r="E74" s="107"/>
      <c r="G74" s="42"/>
      <c r="H74" s="42"/>
      <c r="I74" s="42"/>
      <c r="J74" s="42"/>
      <c r="K74" s="42"/>
      <c r="L74" s="42"/>
      <c r="M74" s="42"/>
    </row>
    <row r="75">
      <c r="A75" s="197"/>
      <c r="B75" s="198" t="s">
        <v>15</v>
      </c>
      <c r="C75" s="199">
        <v>49.0</v>
      </c>
      <c r="D75" s="200"/>
      <c r="E75" s="107"/>
      <c r="G75" s="42"/>
      <c r="H75" s="42"/>
      <c r="I75" s="42"/>
      <c r="J75" s="42"/>
      <c r="K75" s="42"/>
      <c r="L75" s="42"/>
      <c r="M75" s="42"/>
    </row>
    <row r="76" hidden="1">
      <c r="A76" s="197"/>
      <c r="B76" s="198" t="s">
        <v>19</v>
      </c>
      <c r="C76" s="199">
        <v>6.19</v>
      </c>
      <c r="D76" s="200" t="s">
        <v>1299</v>
      </c>
      <c r="E76" s="107"/>
      <c r="G76" s="42"/>
      <c r="H76" s="42"/>
      <c r="I76" s="42"/>
      <c r="J76" s="42"/>
      <c r="K76" s="42"/>
      <c r="L76" s="42"/>
      <c r="M76" s="42"/>
    </row>
    <row r="77" hidden="1">
      <c r="A77" s="197"/>
      <c r="B77" s="198" t="s">
        <v>17</v>
      </c>
      <c r="C77" s="199">
        <v>105.0</v>
      </c>
      <c r="D77" s="200"/>
      <c r="E77" s="107"/>
      <c r="G77" s="42"/>
      <c r="H77" s="42"/>
      <c r="I77" s="42"/>
      <c r="J77" s="42"/>
      <c r="K77" s="42"/>
      <c r="L77" s="42"/>
      <c r="M77" s="42"/>
    </row>
    <row r="78" hidden="1">
      <c r="A78" s="197"/>
      <c r="B78" s="198" t="s">
        <v>17</v>
      </c>
      <c r="C78" s="199">
        <v>18.0</v>
      </c>
      <c r="D78" s="200"/>
      <c r="E78" s="107"/>
      <c r="G78" s="42"/>
      <c r="H78" s="42"/>
      <c r="I78" s="42"/>
      <c r="J78" s="42"/>
      <c r="K78" s="42"/>
      <c r="L78" s="42"/>
      <c r="M78" s="42"/>
    </row>
    <row r="79" hidden="1">
      <c r="A79" s="197"/>
      <c r="B79" s="198" t="s">
        <v>14</v>
      </c>
      <c r="C79" s="199">
        <v>144.0</v>
      </c>
      <c r="D79" s="200" t="s">
        <v>1300</v>
      </c>
      <c r="E79" s="107"/>
      <c r="G79" s="42"/>
      <c r="H79" s="42"/>
      <c r="I79" s="42"/>
      <c r="J79" s="42"/>
      <c r="K79" s="42"/>
      <c r="L79" s="42"/>
      <c r="M79" s="42"/>
    </row>
    <row r="80" hidden="1">
      <c r="A80" s="197"/>
      <c r="B80" s="198" t="s">
        <v>19</v>
      </c>
      <c r="C80" s="199">
        <v>52.54</v>
      </c>
      <c r="D80" s="200" t="s">
        <v>1301</v>
      </c>
      <c r="E80" s="107"/>
      <c r="G80" s="42"/>
      <c r="H80" s="42"/>
      <c r="I80" s="42"/>
      <c r="J80" s="42"/>
      <c r="K80" s="42"/>
      <c r="L80" s="42"/>
      <c r="M80" s="42"/>
    </row>
    <row r="81" hidden="1">
      <c r="A81" s="197"/>
      <c r="B81" s="198" t="s">
        <v>17</v>
      </c>
      <c r="C81" s="199">
        <v>52.54</v>
      </c>
      <c r="D81" s="19" t="s">
        <v>1302</v>
      </c>
      <c r="E81" s="107"/>
      <c r="G81" s="42"/>
      <c r="H81" s="42"/>
      <c r="I81" s="42"/>
      <c r="J81" s="42"/>
      <c r="K81" s="42"/>
      <c r="L81" s="42"/>
      <c r="M81" s="42"/>
    </row>
    <row r="82" hidden="1">
      <c r="A82" s="197"/>
      <c r="B82" s="198" t="s">
        <v>22</v>
      </c>
      <c r="C82" s="199">
        <v>45.0</v>
      </c>
      <c r="D82" s="19" t="s">
        <v>526</v>
      </c>
      <c r="E82" s="107"/>
      <c r="G82" s="42"/>
      <c r="H82" s="42"/>
      <c r="I82" s="42"/>
      <c r="J82" s="42"/>
      <c r="K82" s="42"/>
      <c r="L82" s="42"/>
      <c r="M82" s="42"/>
    </row>
    <row r="83" hidden="1">
      <c r="A83" s="197">
        <v>45810.0</v>
      </c>
      <c r="B83" s="198" t="s">
        <v>19</v>
      </c>
      <c r="C83" s="199">
        <v>328.17</v>
      </c>
      <c r="D83" s="198" t="s">
        <v>1303</v>
      </c>
      <c r="E83" s="107"/>
      <c r="G83" s="42"/>
      <c r="H83" s="42"/>
      <c r="I83" s="42"/>
      <c r="J83" s="42"/>
      <c r="K83" s="42"/>
      <c r="L83" s="42"/>
      <c r="M83" s="42"/>
    </row>
    <row r="84" hidden="1">
      <c r="A84" s="197">
        <v>45811.0</v>
      </c>
      <c r="B84" s="198" t="s">
        <v>19</v>
      </c>
      <c r="C84" s="199">
        <v>76.66</v>
      </c>
      <c r="D84" s="198" t="s">
        <v>1304</v>
      </c>
      <c r="E84" s="107"/>
      <c r="G84" s="42"/>
      <c r="H84" s="42"/>
      <c r="I84" s="42"/>
      <c r="J84" s="42"/>
      <c r="K84" s="42"/>
      <c r="L84" s="42"/>
      <c r="M84" s="42"/>
    </row>
    <row r="85" hidden="1">
      <c r="A85" s="197">
        <v>45811.0</v>
      </c>
      <c r="B85" s="198" t="s">
        <v>19</v>
      </c>
      <c r="C85" s="208">
        <v>14.82</v>
      </c>
      <c r="D85" s="198" t="s">
        <v>1305</v>
      </c>
      <c r="E85" s="107"/>
      <c r="G85" s="42"/>
      <c r="H85" s="42"/>
      <c r="I85" s="42"/>
      <c r="J85" s="42"/>
      <c r="K85" s="42"/>
      <c r="L85" s="42"/>
      <c r="M85" s="42"/>
    </row>
    <row r="86" hidden="1">
      <c r="A86" s="197">
        <v>45811.0</v>
      </c>
      <c r="B86" s="198" t="s">
        <v>19</v>
      </c>
      <c r="C86" s="199">
        <v>31.06</v>
      </c>
      <c r="D86" s="200" t="s">
        <v>1306</v>
      </c>
      <c r="E86" s="107"/>
      <c r="G86" s="42"/>
      <c r="H86" s="42"/>
      <c r="I86" s="42"/>
      <c r="J86" s="42"/>
      <c r="K86" s="42"/>
      <c r="L86" s="42"/>
      <c r="M86" s="42"/>
    </row>
    <row r="87" hidden="1">
      <c r="A87" s="197">
        <v>45812.0</v>
      </c>
      <c r="B87" s="198" t="s">
        <v>19</v>
      </c>
      <c r="C87" s="199">
        <v>3.96</v>
      </c>
      <c r="D87" s="200" t="s">
        <v>1307</v>
      </c>
      <c r="E87" s="107"/>
      <c r="G87" s="42"/>
      <c r="H87" s="42"/>
      <c r="I87" s="42"/>
      <c r="J87" s="42"/>
      <c r="K87" s="42"/>
      <c r="L87" s="42"/>
      <c r="M87" s="42"/>
    </row>
    <row r="88" hidden="1">
      <c r="A88" s="197">
        <v>45816.0</v>
      </c>
      <c r="B88" s="198" t="s">
        <v>19</v>
      </c>
      <c r="C88" s="199">
        <v>14.47</v>
      </c>
      <c r="D88" s="200" t="s">
        <v>1308</v>
      </c>
      <c r="E88" s="107"/>
      <c r="G88" s="42"/>
      <c r="H88" s="42"/>
      <c r="I88" s="42"/>
      <c r="J88" s="42"/>
      <c r="K88" s="42"/>
      <c r="L88" s="42"/>
      <c r="M88" s="42"/>
    </row>
    <row r="89">
      <c r="A89" s="197">
        <v>45817.0</v>
      </c>
      <c r="B89" s="198" t="s">
        <v>15</v>
      </c>
      <c r="C89" s="199">
        <v>63.63</v>
      </c>
      <c r="D89" s="200" t="s">
        <v>1309</v>
      </c>
      <c r="E89" s="107"/>
      <c r="G89" s="42"/>
      <c r="H89" s="42"/>
      <c r="I89" s="42"/>
      <c r="J89" s="42"/>
      <c r="K89" s="42"/>
      <c r="L89" s="42"/>
      <c r="M89" s="42"/>
    </row>
    <row r="90">
      <c r="A90" s="197">
        <v>45824.0</v>
      </c>
      <c r="B90" s="198" t="s">
        <v>15</v>
      </c>
      <c r="C90" s="199">
        <v>93.73</v>
      </c>
      <c r="D90" s="200" t="s">
        <v>1310</v>
      </c>
      <c r="E90" s="107"/>
      <c r="G90" s="42"/>
      <c r="H90" s="42"/>
      <c r="I90" s="42"/>
      <c r="J90" s="42"/>
      <c r="K90" s="42"/>
      <c r="L90" s="42"/>
      <c r="M90" s="42"/>
    </row>
    <row r="91">
      <c r="A91" s="197">
        <v>45831.0</v>
      </c>
      <c r="B91" s="198" t="s">
        <v>15</v>
      </c>
      <c r="C91" s="199">
        <v>59.41</v>
      </c>
      <c r="D91" s="200" t="s">
        <v>1311</v>
      </c>
      <c r="E91" s="107"/>
      <c r="G91" s="42"/>
      <c r="H91" s="42"/>
      <c r="I91" s="42"/>
      <c r="J91" s="42"/>
      <c r="K91" s="42"/>
      <c r="L91" s="42"/>
      <c r="M91" s="42"/>
    </row>
    <row r="92" hidden="1">
      <c r="A92" s="197">
        <v>45832.0</v>
      </c>
      <c r="B92" s="198" t="s">
        <v>19</v>
      </c>
      <c r="C92" s="199">
        <v>8.15</v>
      </c>
      <c r="D92" s="200" t="s">
        <v>1312</v>
      </c>
      <c r="E92" s="107"/>
      <c r="G92" s="42"/>
      <c r="H92" s="42"/>
      <c r="I92" s="42"/>
      <c r="J92" s="42"/>
      <c r="K92" s="42"/>
      <c r="L92" s="42"/>
      <c r="M92" s="42"/>
    </row>
    <row r="93" hidden="1">
      <c r="A93" s="197">
        <v>45832.0</v>
      </c>
      <c r="B93" s="198" t="s">
        <v>19</v>
      </c>
      <c r="C93" s="199">
        <v>-4.03</v>
      </c>
      <c r="D93" s="201" t="s">
        <v>931</v>
      </c>
      <c r="E93" s="107"/>
      <c r="G93" s="42"/>
      <c r="H93" s="42"/>
      <c r="I93" s="42"/>
      <c r="J93" s="42"/>
      <c r="K93" s="42"/>
      <c r="L93" s="42"/>
      <c r="M93" s="42"/>
    </row>
    <row r="94" hidden="1">
      <c r="A94" s="197">
        <v>45833.0</v>
      </c>
      <c r="B94" s="198" t="s">
        <v>19</v>
      </c>
      <c r="C94" s="199">
        <v>56.77</v>
      </c>
      <c r="D94" s="200" t="s">
        <v>1313</v>
      </c>
      <c r="E94" s="107"/>
      <c r="G94" s="42"/>
      <c r="H94" s="42"/>
      <c r="I94" s="42"/>
      <c r="J94" s="42"/>
      <c r="K94" s="42"/>
      <c r="L94" s="42"/>
      <c r="M94" s="42"/>
    </row>
    <row r="95" hidden="1">
      <c r="A95" s="197">
        <v>45837.0</v>
      </c>
      <c r="B95" s="198" t="s">
        <v>19</v>
      </c>
      <c r="C95" s="199">
        <v>6.41</v>
      </c>
      <c r="D95" s="200" t="s">
        <v>1314</v>
      </c>
      <c r="E95" s="107"/>
      <c r="G95" s="42"/>
      <c r="H95" s="42"/>
      <c r="I95" s="42"/>
      <c r="J95" s="42"/>
      <c r="K95" s="42"/>
      <c r="L95" s="42"/>
      <c r="M95" s="42"/>
    </row>
    <row r="96">
      <c r="A96" s="197">
        <v>45838.0</v>
      </c>
      <c r="B96" s="198" t="s">
        <v>15</v>
      </c>
      <c r="C96" s="199">
        <v>39.3</v>
      </c>
      <c r="D96" s="200" t="s">
        <v>1315</v>
      </c>
      <c r="E96" s="107"/>
      <c r="G96" s="42"/>
      <c r="H96" s="42"/>
      <c r="I96" s="42"/>
      <c r="J96" s="42"/>
      <c r="K96" s="42"/>
      <c r="L96" s="42"/>
      <c r="M96" s="42"/>
    </row>
    <row r="97" hidden="1">
      <c r="A97" s="197">
        <v>45838.0</v>
      </c>
      <c r="B97" s="198" t="s">
        <v>19</v>
      </c>
      <c r="C97" s="199">
        <v>18.69</v>
      </c>
      <c r="D97" s="200" t="s">
        <v>1316</v>
      </c>
      <c r="E97" s="107"/>
      <c r="G97" s="42"/>
      <c r="H97" s="42"/>
      <c r="I97" s="42"/>
      <c r="J97" s="42"/>
      <c r="K97" s="42"/>
      <c r="L97" s="42"/>
      <c r="M97" s="42"/>
    </row>
    <row r="98">
      <c r="A98" s="197">
        <v>45838.0</v>
      </c>
      <c r="B98" s="198" t="s">
        <v>15</v>
      </c>
      <c r="C98" s="199">
        <v>9.99</v>
      </c>
      <c r="D98" s="200" t="s">
        <v>936</v>
      </c>
      <c r="E98" s="107"/>
      <c r="G98" s="42"/>
      <c r="H98" s="42"/>
      <c r="I98" s="42"/>
      <c r="J98" s="42"/>
      <c r="K98" s="42"/>
      <c r="L98" s="42"/>
      <c r="M98" s="42"/>
    </row>
    <row r="99" hidden="1">
      <c r="A99" s="197"/>
      <c r="B99" s="198"/>
      <c r="C99" s="199"/>
      <c r="D99" s="200"/>
      <c r="E99" s="107"/>
      <c r="G99" s="42"/>
      <c r="H99" s="42"/>
      <c r="I99" s="42"/>
      <c r="J99" s="42"/>
      <c r="K99" s="42"/>
      <c r="L99" s="42"/>
      <c r="M99" s="42"/>
    </row>
    <row r="100" hidden="1">
      <c r="A100" s="197"/>
      <c r="B100" s="198"/>
      <c r="C100" s="199"/>
      <c r="D100" s="200"/>
      <c r="E100" s="107"/>
      <c r="G100" s="42"/>
      <c r="H100" s="42"/>
      <c r="I100" s="42"/>
      <c r="J100" s="42"/>
      <c r="K100" s="42"/>
      <c r="L100" s="42"/>
      <c r="M100" s="42"/>
    </row>
    <row r="101" hidden="1">
      <c r="A101" s="197"/>
      <c r="B101" s="198"/>
      <c r="C101" s="199"/>
      <c r="D101" s="200"/>
      <c r="E101" s="107"/>
      <c r="G101" s="42"/>
      <c r="H101" s="42"/>
      <c r="I101" s="42"/>
      <c r="J101" s="42"/>
      <c r="K101" s="42"/>
      <c r="L101" s="42"/>
      <c r="M101" s="42"/>
    </row>
    <row r="102" hidden="1">
      <c r="A102" s="197"/>
      <c r="B102" s="198"/>
      <c r="C102" s="199"/>
      <c r="D102" s="200"/>
      <c r="E102" s="107"/>
      <c r="G102" s="42"/>
      <c r="H102" s="42"/>
      <c r="I102" s="42"/>
      <c r="J102" s="42"/>
      <c r="K102" s="42"/>
      <c r="L102" s="42"/>
      <c r="M102" s="42"/>
    </row>
    <row r="103" hidden="1">
      <c r="A103" s="197"/>
      <c r="B103" s="198"/>
      <c r="C103" s="199"/>
      <c r="D103" s="200"/>
      <c r="E103" s="107"/>
      <c r="G103" s="42"/>
      <c r="H103" s="42"/>
      <c r="I103" s="42"/>
      <c r="J103" s="42"/>
      <c r="K103" s="42"/>
      <c r="L103" s="42"/>
      <c r="M103" s="42"/>
    </row>
    <row r="104" hidden="1">
      <c r="A104" s="212"/>
      <c r="B104" s="184"/>
      <c r="C104" s="199"/>
      <c r="D104" s="200"/>
      <c r="E104" s="107"/>
      <c r="G104" s="42"/>
      <c r="H104" s="42"/>
      <c r="I104" s="42"/>
      <c r="J104" s="42"/>
      <c r="K104" s="42"/>
      <c r="L104" s="42"/>
      <c r="M104" s="42"/>
    </row>
    <row r="105" hidden="1">
      <c r="A105" s="215"/>
      <c r="B105" s="184"/>
      <c r="C105" s="208"/>
      <c r="D105" s="198"/>
      <c r="E105" s="132"/>
      <c r="G105" s="42"/>
      <c r="H105" s="42"/>
      <c r="I105" s="42"/>
      <c r="J105" s="42"/>
      <c r="K105" s="42"/>
      <c r="L105" s="42"/>
      <c r="M105" s="42"/>
    </row>
    <row r="106">
      <c r="A106" s="215"/>
      <c r="B106" s="178"/>
      <c r="C106" s="208"/>
      <c r="D106" s="198"/>
      <c r="E106" s="132"/>
      <c r="G106" s="42"/>
      <c r="H106" s="42"/>
      <c r="I106" s="42"/>
      <c r="J106" s="42"/>
      <c r="K106" s="42"/>
      <c r="L106" s="42"/>
      <c r="M106" s="42"/>
    </row>
    <row r="107">
      <c r="A107" s="215"/>
      <c r="B107" s="178"/>
      <c r="C107" s="208"/>
      <c r="D107" s="198"/>
      <c r="E107" s="132"/>
      <c r="G107" s="42"/>
      <c r="H107" s="42"/>
      <c r="I107" s="42"/>
      <c r="J107" s="42"/>
      <c r="K107" s="42"/>
      <c r="L107" s="42"/>
      <c r="M107" s="42"/>
    </row>
    <row r="108">
      <c r="A108" s="215"/>
      <c r="B108" s="178"/>
      <c r="C108" s="208"/>
      <c r="D108" s="198"/>
      <c r="E108" s="132"/>
      <c r="G108" s="42"/>
      <c r="H108" s="42"/>
      <c r="I108" s="42"/>
      <c r="J108" s="42"/>
      <c r="K108" s="42"/>
      <c r="L108" s="42"/>
      <c r="M108" s="42"/>
    </row>
    <row r="109">
      <c r="A109" s="215"/>
      <c r="B109" s="178"/>
      <c r="C109" s="208"/>
      <c r="D109" s="198"/>
      <c r="E109" s="132"/>
      <c r="G109" s="42"/>
      <c r="H109" s="42"/>
      <c r="I109" s="42"/>
      <c r="J109" s="42"/>
      <c r="K109" s="42"/>
      <c r="L109" s="42"/>
      <c r="M109" s="42"/>
    </row>
    <row r="110">
      <c r="A110" s="203"/>
      <c r="B110" s="203"/>
      <c r="C110" s="203"/>
      <c r="D110" s="203"/>
      <c r="E110" s="107"/>
      <c r="G110" s="42"/>
      <c r="H110" s="42"/>
      <c r="I110" s="42"/>
      <c r="J110" s="42"/>
      <c r="K110" s="42"/>
      <c r="L110" s="42"/>
      <c r="M110" s="42"/>
    </row>
    <row r="111">
      <c r="A111" s="203"/>
      <c r="B111" s="203"/>
      <c r="C111" s="203"/>
      <c r="D111" s="203"/>
      <c r="E111" s="107"/>
      <c r="G111" s="42"/>
      <c r="H111" s="42"/>
      <c r="I111" s="42"/>
      <c r="J111" s="42"/>
      <c r="K111" s="42"/>
      <c r="L111" s="42"/>
      <c r="M111" s="42"/>
    </row>
    <row r="112">
      <c r="A112" s="203"/>
      <c r="B112" s="203"/>
      <c r="C112" s="203"/>
      <c r="D112" s="203"/>
      <c r="E112" s="132"/>
      <c r="G112" s="42"/>
      <c r="H112" s="42"/>
      <c r="I112" s="42"/>
      <c r="J112" s="42"/>
      <c r="K112" s="42"/>
      <c r="L112" s="42"/>
      <c r="M112" s="42"/>
    </row>
    <row r="113">
      <c r="A113" s="203"/>
      <c r="B113" s="203"/>
      <c r="C113" s="203"/>
      <c r="D113" s="203"/>
      <c r="E113" s="107">
        <v>-1.1</v>
      </c>
      <c r="G113" s="42"/>
      <c r="H113" s="42"/>
      <c r="I113" s="42"/>
      <c r="J113" s="42"/>
      <c r="K113" s="42"/>
      <c r="L113" s="42"/>
      <c r="M113" s="42"/>
    </row>
    <row r="114">
      <c r="A114" s="203"/>
      <c r="B114" s="203"/>
      <c r="C114" s="203"/>
      <c r="D114" s="203"/>
      <c r="E114" s="107">
        <v>-30.0</v>
      </c>
      <c r="G114" s="42"/>
      <c r="H114" s="42"/>
      <c r="I114" s="42"/>
      <c r="J114" s="42"/>
      <c r="K114" s="42"/>
      <c r="L114" s="42"/>
      <c r="M114" s="42"/>
    </row>
    <row r="115">
      <c r="A115" s="181"/>
      <c r="B115" s="178"/>
      <c r="C115" s="182"/>
      <c r="D115" s="183"/>
      <c r="E115" s="107">
        <v>-10.69</v>
      </c>
      <c r="G115" s="42"/>
      <c r="H115" s="42"/>
      <c r="I115" s="42"/>
      <c r="J115" s="42"/>
      <c r="K115" s="42"/>
      <c r="L115" s="42"/>
      <c r="M115" s="42"/>
    </row>
    <row r="116">
      <c r="A116" s="177"/>
      <c r="B116" s="184"/>
      <c r="C116" s="180"/>
      <c r="D116" s="180"/>
      <c r="E116" s="107">
        <v>-81.99</v>
      </c>
      <c r="G116" s="99"/>
      <c r="H116" s="42"/>
      <c r="I116" s="42"/>
      <c r="J116" s="42"/>
      <c r="K116" s="42"/>
      <c r="L116" s="42"/>
      <c r="M116" s="42"/>
    </row>
    <row r="117">
      <c r="A117" s="181"/>
      <c r="B117" s="178"/>
      <c r="C117" s="182"/>
      <c r="D117" s="183"/>
      <c r="E117" s="107">
        <v>-91.44</v>
      </c>
      <c r="G117" s="42"/>
      <c r="H117" s="42"/>
      <c r="I117" s="42"/>
      <c r="J117" s="42"/>
      <c r="K117" s="42"/>
      <c r="L117" s="42"/>
      <c r="M117" s="42"/>
    </row>
    <row r="118">
      <c r="A118" s="181"/>
      <c r="B118" s="178"/>
      <c r="C118" s="182"/>
      <c r="D118" s="183"/>
      <c r="E118" s="107">
        <v>-79.99</v>
      </c>
      <c r="G118" s="42"/>
      <c r="H118" s="42"/>
      <c r="I118" s="42"/>
      <c r="J118" s="42"/>
      <c r="K118" s="42"/>
      <c r="L118" s="42"/>
      <c r="M118" s="42"/>
    </row>
    <row r="119">
      <c r="A119" s="203"/>
      <c r="B119" s="203"/>
      <c r="C119" s="203"/>
      <c r="D119" s="203"/>
      <c r="E119" s="107">
        <v>-120.75</v>
      </c>
      <c r="G119" s="42"/>
      <c r="H119" s="42"/>
      <c r="I119" s="42"/>
      <c r="J119" s="42"/>
      <c r="K119" s="42"/>
      <c r="L119" s="42"/>
      <c r="M119" s="42"/>
    </row>
    <row r="120">
      <c r="A120" s="203"/>
      <c r="B120" s="203"/>
      <c r="C120" s="203"/>
      <c r="D120" s="203"/>
      <c r="E120" s="107">
        <v>-1.75</v>
      </c>
      <c r="G120" s="42"/>
      <c r="H120" s="42"/>
      <c r="I120" s="42"/>
      <c r="J120" s="42"/>
      <c r="K120" s="42"/>
      <c r="L120" s="42"/>
      <c r="M120" s="42"/>
    </row>
    <row r="121">
      <c r="A121" s="203"/>
      <c r="B121" s="203"/>
      <c r="C121" s="203"/>
      <c r="D121" s="203"/>
      <c r="E121" s="107">
        <v>-1.25</v>
      </c>
      <c r="G121" s="42"/>
      <c r="H121" s="42"/>
      <c r="I121" s="42"/>
      <c r="J121" s="42"/>
      <c r="K121" s="42"/>
      <c r="L121" s="42"/>
      <c r="M121" s="42"/>
    </row>
    <row r="122">
      <c r="A122" s="203"/>
      <c r="B122" s="203"/>
      <c r="C122" s="203"/>
      <c r="D122" s="203"/>
      <c r="E122" s="107">
        <v>-1.25</v>
      </c>
      <c r="G122" s="42"/>
      <c r="H122" s="42"/>
      <c r="I122" s="42"/>
      <c r="J122" s="42"/>
      <c r="K122" s="42"/>
      <c r="L122" s="42"/>
      <c r="M122" s="42"/>
    </row>
    <row r="123">
      <c r="A123" s="181"/>
      <c r="B123" s="178"/>
      <c r="C123" s="182"/>
      <c r="D123" s="183"/>
      <c r="E123" s="107">
        <v>-9.6</v>
      </c>
      <c r="G123" s="42"/>
      <c r="H123" s="42"/>
      <c r="I123" s="42"/>
      <c r="J123" s="42"/>
      <c r="K123" s="42"/>
      <c r="L123" s="42"/>
      <c r="M123" s="42"/>
    </row>
    <row r="124">
      <c r="A124" s="181"/>
      <c r="B124" s="178"/>
      <c r="C124" s="182"/>
      <c r="D124" s="183"/>
      <c r="E124" s="107">
        <v>-1.25</v>
      </c>
      <c r="G124" s="42"/>
      <c r="H124" s="42"/>
      <c r="I124" s="42"/>
      <c r="J124" s="42"/>
      <c r="K124" s="42"/>
      <c r="L124" s="42"/>
      <c r="M124" s="42"/>
    </row>
    <row r="125">
      <c r="A125" s="192"/>
      <c r="B125" s="184"/>
      <c r="C125" s="202"/>
      <c r="D125" s="193"/>
      <c r="E125" s="107">
        <v>-1.25</v>
      </c>
      <c r="G125" s="42"/>
      <c r="H125" s="42"/>
      <c r="I125" s="42"/>
      <c r="J125" s="42"/>
      <c r="K125" s="42"/>
      <c r="L125" s="42"/>
      <c r="M125" s="42"/>
    </row>
    <row r="126">
      <c r="A126" s="181"/>
      <c r="B126" s="178"/>
      <c r="C126" s="182"/>
      <c r="D126" s="183"/>
      <c r="E126" s="107">
        <v>-2.9</v>
      </c>
      <c r="G126" s="42"/>
      <c r="H126" s="42"/>
      <c r="I126" s="42"/>
      <c r="J126" s="42"/>
      <c r="K126" s="42"/>
      <c r="L126" s="42"/>
      <c r="M126" s="42"/>
    </row>
    <row r="127">
      <c r="A127" s="192"/>
      <c r="B127" s="184"/>
      <c r="C127" s="202"/>
      <c r="D127" s="193"/>
      <c r="E127" s="107">
        <v>-30.0</v>
      </c>
      <c r="G127" s="42"/>
      <c r="H127" s="42"/>
      <c r="I127" s="42"/>
      <c r="J127" s="42"/>
      <c r="K127" s="42"/>
      <c r="L127" s="42"/>
      <c r="M127" s="42"/>
    </row>
    <row r="128">
      <c r="A128" s="181"/>
      <c r="B128" s="178"/>
      <c r="C128" s="182"/>
      <c r="D128" s="183"/>
      <c r="E128" s="107">
        <v>-2.9</v>
      </c>
      <c r="G128" s="42"/>
      <c r="H128" s="42"/>
      <c r="I128" s="42"/>
      <c r="J128" s="42"/>
      <c r="K128" s="42"/>
      <c r="L128" s="42"/>
      <c r="M128" s="42"/>
    </row>
    <row r="129">
      <c r="A129" s="181"/>
      <c r="B129" s="178"/>
      <c r="C129" s="182"/>
      <c r="D129" s="183"/>
      <c r="E129" s="107">
        <v>-2.75</v>
      </c>
      <c r="G129" s="42"/>
      <c r="H129" s="42"/>
      <c r="I129" s="42"/>
      <c r="J129" s="42"/>
      <c r="K129" s="42"/>
      <c r="L129" s="42"/>
      <c r="M129" s="42"/>
    </row>
    <row r="130">
      <c r="A130" s="181"/>
      <c r="B130" s="178"/>
      <c r="C130" s="182"/>
      <c r="D130" s="183"/>
      <c r="E130" s="107">
        <v>-2.9</v>
      </c>
      <c r="G130" s="42"/>
      <c r="H130" s="42"/>
      <c r="I130" s="42"/>
      <c r="J130" s="42"/>
      <c r="K130" s="42"/>
      <c r="L130" s="42"/>
      <c r="M130" s="42"/>
    </row>
    <row r="131">
      <c r="A131" s="181"/>
      <c r="B131" s="178"/>
      <c r="C131" s="182"/>
      <c r="D131" s="183"/>
      <c r="E131" s="107">
        <v>-2.75</v>
      </c>
      <c r="G131" s="42"/>
      <c r="H131" s="42"/>
      <c r="I131" s="42"/>
      <c r="J131" s="42"/>
      <c r="K131" s="42"/>
      <c r="L131" s="42"/>
      <c r="M131" s="42"/>
    </row>
    <row r="132">
      <c r="A132" s="181"/>
      <c r="B132" s="178"/>
      <c r="C132" s="182"/>
      <c r="D132" s="183"/>
      <c r="E132" s="107">
        <v>-13.25</v>
      </c>
      <c r="G132" s="42"/>
      <c r="H132" s="42"/>
      <c r="I132" s="42"/>
      <c r="J132" s="42"/>
      <c r="K132" s="42"/>
      <c r="L132" s="42"/>
      <c r="M132" s="42"/>
    </row>
    <row r="133">
      <c r="A133" s="192"/>
      <c r="B133" s="184"/>
      <c r="C133" s="202"/>
      <c r="D133" s="193"/>
      <c r="E133" s="107">
        <v>-28.27</v>
      </c>
      <c r="G133" s="42"/>
      <c r="H133" s="42"/>
      <c r="I133" s="42"/>
      <c r="J133" s="42"/>
      <c r="K133" s="42"/>
      <c r="L133" s="42"/>
      <c r="M133" s="42"/>
    </row>
    <row r="134">
      <c r="A134" s="181"/>
      <c r="B134" s="178"/>
      <c r="C134" s="182"/>
      <c r="D134" s="183"/>
      <c r="E134" s="107">
        <v>-51.99</v>
      </c>
      <c r="G134" s="42"/>
      <c r="H134" s="42"/>
      <c r="I134" s="42"/>
      <c r="J134" s="42"/>
      <c r="K134" s="42"/>
      <c r="L134" s="42"/>
      <c r="M134" s="42"/>
    </row>
    <row r="135">
      <c r="A135" s="181"/>
      <c r="B135" s="178"/>
      <c r="C135" s="182"/>
      <c r="D135" s="183"/>
      <c r="E135" s="107">
        <v>-31.03</v>
      </c>
      <c r="G135" s="42"/>
      <c r="H135" s="42"/>
      <c r="I135" s="42"/>
      <c r="J135" s="42"/>
      <c r="K135" s="42"/>
      <c r="L135" s="42"/>
      <c r="M135" s="42"/>
    </row>
    <row r="136">
      <c r="A136" s="181"/>
      <c r="B136" s="178"/>
      <c r="C136" s="182"/>
      <c r="D136" s="183"/>
      <c r="E136" s="107">
        <v>-53.58</v>
      </c>
      <c r="G136" s="42"/>
      <c r="H136" s="42"/>
      <c r="I136" s="42"/>
      <c r="J136" s="42"/>
      <c r="K136" s="42"/>
      <c r="L136" s="42"/>
      <c r="M136" s="42"/>
    </row>
    <row r="137">
      <c r="A137" s="181"/>
      <c r="B137" s="178"/>
      <c r="C137" s="182"/>
      <c r="D137" s="183"/>
      <c r="E137" s="107">
        <v>-1.5</v>
      </c>
      <c r="G137" s="42"/>
      <c r="H137" s="42"/>
      <c r="I137" s="42"/>
      <c r="J137" s="42"/>
      <c r="K137" s="42"/>
      <c r="L137" s="42"/>
      <c r="M137" s="42"/>
    </row>
    <row r="138">
      <c r="A138" s="181"/>
      <c r="B138" s="178"/>
      <c r="C138" s="182"/>
      <c r="D138" s="183"/>
      <c r="E138" s="107">
        <v>-12.84</v>
      </c>
      <c r="G138" s="42"/>
      <c r="H138" s="42"/>
      <c r="I138" s="42"/>
      <c r="J138" s="42"/>
      <c r="K138" s="42"/>
      <c r="L138" s="42"/>
      <c r="M138" s="42"/>
    </row>
    <row r="139">
      <c r="A139" s="181"/>
      <c r="B139" s="178"/>
      <c r="C139" s="182"/>
      <c r="D139" s="183"/>
      <c r="E139" s="107">
        <v>-2.4</v>
      </c>
      <c r="G139" s="42"/>
      <c r="H139" s="42"/>
      <c r="I139" s="42"/>
      <c r="J139" s="42"/>
      <c r="K139" s="42"/>
      <c r="L139" s="42"/>
      <c r="M139" s="42"/>
    </row>
    <row r="140">
      <c r="A140" s="192"/>
      <c r="B140" s="184"/>
      <c r="C140" s="202"/>
      <c r="D140" s="193"/>
      <c r="E140" s="107">
        <v>-1.25</v>
      </c>
      <c r="G140" s="42"/>
      <c r="H140" s="42"/>
      <c r="I140" s="42"/>
      <c r="J140" s="42"/>
      <c r="K140" s="42"/>
      <c r="L140" s="42"/>
      <c r="M140" s="42"/>
    </row>
    <row r="141">
      <c r="A141" s="181"/>
      <c r="B141" s="178"/>
      <c r="C141" s="182"/>
      <c r="D141" s="183"/>
      <c r="E141" s="107">
        <v>-25.95</v>
      </c>
      <c r="G141" s="42"/>
      <c r="H141" s="42"/>
      <c r="I141" s="42"/>
      <c r="J141" s="42"/>
      <c r="K141" s="42"/>
      <c r="L141" s="42"/>
      <c r="M141" s="42"/>
    </row>
    <row r="142">
      <c r="A142" s="192"/>
      <c r="B142" s="184"/>
      <c r="C142" s="202"/>
      <c r="D142" s="193"/>
      <c r="E142" s="107">
        <v>-1.25</v>
      </c>
      <c r="G142" s="42"/>
      <c r="H142" s="42"/>
      <c r="I142" s="42"/>
      <c r="J142" s="42"/>
      <c r="K142" s="42"/>
      <c r="L142" s="42"/>
      <c r="M142" s="42"/>
    </row>
    <row r="143">
      <c r="A143" s="181"/>
      <c r="B143" s="178"/>
      <c r="C143" s="182"/>
      <c r="D143" s="183"/>
      <c r="E143" s="107">
        <v>-3.95</v>
      </c>
      <c r="G143" s="42"/>
      <c r="H143" s="42"/>
      <c r="I143" s="42"/>
      <c r="J143" s="42"/>
      <c r="K143" s="42"/>
      <c r="L143" s="42"/>
      <c r="M143" s="42"/>
    </row>
    <row r="144">
      <c r="A144" s="192"/>
      <c r="B144" s="184"/>
      <c r="C144" s="202"/>
      <c r="D144" s="193"/>
      <c r="E144" s="107">
        <v>-1.25</v>
      </c>
      <c r="G144" s="42"/>
      <c r="H144" s="42"/>
      <c r="I144" s="42"/>
      <c r="J144" s="42"/>
      <c r="K144" s="42"/>
      <c r="L144" s="42"/>
      <c r="M144" s="42"/>
    </row>
    <row r="145">
      <c r="A145" s="181"/>
      <c r="B145" s="178"/>
      <c r="C145" s="182"/>
      <c r="D145" s="183"/>
      <c r="E145" s="107">
        <v>-55.88</v>
      </c>
      <c r="G145" s="42"/>
      <c r="H145" s="42"/>
      <c r="I145" s="42"/>
      <c r="J145" s="42"/>
      <c r="K145" s="42"/>
      <c r="L145" s="42"/>
      <c r="M145" s="42"/>
    </row>
    <row r="146">
      <c r="A146" s="181"/>
      <c r="B146" s="178"/>
      <c r="C146" s="182"/>
      <c r="D146" s="183"/>
      <c r="E146" s="107">
        <v>-25.02</v>
      </c>
      <c r="G146" s="42"/>
      <c r="H146" s="42"/>
      <c r="I146" s="42"/>
      <c r="J146" s="42"/>
      <c r="K146" s="42"/>
      <c r="L146" s="42"/>
      <c r="M146" s="42"/>
    </row>
    <row r="147">
      <c r="A147" s="181"/>
      <c r="B147" s="178"/>
      <c r="C147" s="182"/>
      <c r="D147" s="183"/>
      <c r="E147" s="107">
        <v>-81.2</v>
      </c>
      <c r="G147" s="42"/>
      <c r="H147" s="42"/>
      <c r="I147" s="42"/>
      <c r="J147" s="42"/>
      <c r="K147" s="42"/>
      <c r="L147" s="42"/>
      <c r="M147" s="42"/>
    </row>
    <row r="148">
      <c r="A148" s="192"/>
      <c r="B148" s="184"/>
      <c r="C148" s="189"/>
      <c r="D148" s="186"/>
      <c r="E148" s="107"/>
      <c r="G148" s="42"/>
      <c r="H148" s="42"/>
      <c r="I148" s="42"/>
      <c r="J148" s="42"/>
      <c r="K148" s="42"/>
      <c r="L148" s="42"/>
      <c r="M148" s="42"/>
    </row>
    <row r="149">
      <c r="A149" s="204"/>
      <c r="B149" s="184"/>
      <c r="C149" s="194"/>
      <c r="D149" s="194"/>
      <c r="E149" s="107"/>
      <c r="G149" s="42"/>
      <c r="H149" s="42"/>
      <c r="I149" s="42"/>
      <c r="J149" s="42"/>
      <c r="K149" s="42"/>
      <c r="L149" s="42"/>
      <c r="M149" s="42"/>
    </row>
    <row r="150">
      <c r="A150" s="181"/>
      <c r="B150" s="178"/>
      <c r="C150" s="182"/>
      <c r="D150" s="180"/>
      <c r="E150" s="107"/>
      <c r="G150" s="42"/>
      <c r="H150" s="42"/>
      <c r="I150" s="42"/>
      <c r="J150" s="42"/>
      <c r="K150" s="42"/>
      <c r="L150" s="42"/>
      <c r="M150" s="42"/>
    </row>
    <row r="151">
      <c r="A151" s="192"/>
      <c r="B151" s="186"/>
      <c r="C151" s="189"/>
      <c r="D151" s="186"/>
      <c r="E151" s="107"/>
      <c r="G151" s="42"/>
      <c r="H151" s="42"/>
      <c r="I151" s="42"/>
      <c r="J151" s="42"/>
      <c r="K151" s="42"/>
      <c r="L151" s="42"/>
      <c r="M151" s="42"/>
    </row>
    <row r="152">
      <c r="A152" s="181"/>
      <c r="B152" s="178"/>
      <c r="C152" s="182"/>
      <c r="D152" s="180"/>
      <c r="E152" s="107"/>
      <c r="G152" s="42"/>
      <c r="H152" s="42"/>
      <c r="I152" s="42"/>
      <c r="J152" s="42"/>
      <c r="K152" s="42"/>
      <c r="L152" s="42"/>
      <c r="M152" s="42"/>
    </row>
    <row r="153">
      <c r="A153" s="192"/>
      <c r="B153" s="186"/>
      <c r="C153" s="189"/>
      <c r="D153" s="186"/>
      <c r="E153" s="107"/>
      <c r="G153" s="42"/>
      <c r="H153" s="42"/>
      <c r="I153" s="42"/>
      <c r="J153" s="42"/>
      <c r="K153" s="42"/>
      <c r="L153" s="42"/>
      <c r="M153" s="42"/>
    </row>
    <row r="154">
      <c r="A154" s="181"/>
      <c r="B154" s="178"/>
      <c r="C154" s="182"/>
      <c r="D154" s="180"/>
      <c r="E154" s="107"/>
      <c r="G154" s="42"/>
      <c r="H154" s="42"/>
      <c r="I154" s="42"/>
      <c r="J154" s="42"/>
      <c r="K154" s="42"/>
      <c r="L154" s="42"/>
      <c r="M154" s="42"/>
    </row>
    <row r="155">
      <c r="A155" s="188"/>
      <c r="B155" s="186"/>
      <c r="C155" s="189"/>
      <c r="D155" s="186"/>
      <c r="E155" s="107"/>
      <c r="G155" s="42"/>
      <c r="H155" s="42"/>
      <c r="I155" s="42"/>
      <c r="J155" s="42"/>
      <c r="K155" s="42"/>
      <c r="L155" s="42"/>
      <c r="M155" s="42"/>
    </row>
    <row r="156">
      <c r="A156" s="181"/>
      <c r="B156" s="178"/>
      <c r="C156" s="182"/>
      <c r="D156" s="180"/>
      <c r="E156" s="107"/>
      <c r="G156" s="42"/>
      <c r="H156" s="42"/>
      <c r="I156" s="42"/>
      <c r="J156" s="42"/>
      <c r="K156" s="42"/>
      <c r="L156" s="42"/>
      <c r="M156" s="42"/>
    </row>
    <row r="157">
      <c r="A157" s="181"/>
      <c r="B157" s="178"/>
      <c r="C157" s="182"/>
      <c r="D157" s="180"/>
      <c r="E157" s="107"/>
      <c r="G157" s="42"/>
      <c r="H157" s="42"/>
      <c r="I157" s="42"/>
      <c r="J157" s="42"/>
      <c r="K157" s="42"/>
      <c r="L157" s="42"/>
      <c r="M157" s="42"/>
    </row>
    <row r="158">
      <c r="A158" s="188"/>
      <c r="B158" s="186"/>
      <c r="C158" s="189"/>
      <c r="D158" s="186"/>
      <c r="E158" s="107"/>
      <c r="G158" s="42"/>
      <c r="H158" s="42"/>
      <c r="I158" s="42"/>
      <c r="J158" s="42"/>
      <c r="K158" s="42"/>
      <c r="L158" s="42"/>
      <c r="M158" s="42"/>
    </row>
    <row r="159">
      <c r="A159" s="181"/>
      <c r="B159" s="178"/>
      <c r="C159" s="182"/>
      <c r="D159" s="180"/>
      <c r="E159" s="107"/>
      <c r="G159" s="42"/>
      <c r="H159" s="42"/>
      <c r="I159" s="42"/>
      <c r="J159" s="42"/>
      <c r="K159" s="42"/>
      <c r="L159" s="42"/>
      <c r="M159" s="42"/>
    </row>
    <row r="160">
      <c r="A160" s="181"/>
      <c r="B160" s="178"/>
      <c r="C160" s="182"/>
      <c r="D160" s="180"/>
      <c r="E160" s="107"/>
      <c r="G160" s="42"/>
      <c r="H160" s="42"/>
      <c r="I160" s="42"/>
      <c r="J160" s="42"/>
      <c r="K160" s="42"/>
      <c r="L160" s="42"/>
      <c r="M160" s="42"/>
    </row>
    <row r="161">
      <c r="A161" s="192"/>
      <c r="B161" s="184"/>
      <c r="C161" s="202"/>
      <c r="D161" s="193"/>
      <c r="E161" s="107"/>
      <c r="G161" s="42"/>
      <c r="H161" s="42"/>
      <c r="I161" s="42"/>
      <c r="J161" s="42"/>
      <c r="K161" s="42"/>
      <c r="L161" s="42"/>
      <c r="M161" s="42"/>
    </row>
    <row r="162">
      <c r="A162" s="181"/>
      <c r="B162" s="205"/>
      <c r="C162" s="183"/>
      <c r="D162" s="183"/>
      <c r="E162" s="107"/>
      <c r="G162" s="42"/>
      <c r="H162" s="42"/>
      <c r="I162" s="42"/>
      <c r="J162" s="42"/>
      <c r="K162" s="42"/>
      <c r="L162" s="42"/>
      <c r="M162" s="42"/>
    </row>
    <row r="163">
      <c r="A163" s="188"/>
      <c r="B163" s="186"/>
      <c r="C163" s="189"/>
      <c r="D163" s="186"/>
      <c r="E163" s="107"/>
      <c r="G163" s="42"/>
      <c r="H163" s="42"/>
      <c r="I163" s="42"/>
      <c r="J163" s="42"/>
      <c r="K163" s="42"/>
      <c r="L163" s="42"/>
      <c r="M163" s="42"/>
    </row>
    <row r="164">
      <c r="A164" s="181"/>
      <c r="B164" s="205"/>
      <c r="C164" s="183"/>
      <c r="D164" s="183"/>
      <c r="E164" s="107"/>
      <c r="G164" s="42"/>
      <c r="H164" s="42"/>
      <c r="I164" s="42"/>
      <c r="J164" s="42"/>
      <c r="K164" s="42"/>
      <c r="L164" s="42"/>
      <c r="M164" s="42"/>
    </row>
    <row r="165">
      <c r="A165" s="188"/>
      <c r="B165" s="186"/>
      <c r="C165" s="189"/>
      <c r="D165" s="186"/>
      <c r="E165" s="107"/>
      <c r="G165" s="42"/>
      <c r="H165" s="42"/>
      <c r="I165" s="42"/>
      <c r="J165" s="42"/>
      <c r="K165" s="42"/>
      <c r="L165" s="42"/>
      <c r="M165" s="42"/>
    </row>
    <row r="166">
      <c r="A166" s="181"/>
      <c r="B166" s="205"/>
      <c r="C166" s="183"/>
      <c r="D166" s="183"/>
      <c r="E166" s="107"/>
      <c r="G166" s="42"/>
      <c r="H166" s="42"/>
      <c r="I166" s="42"/>
      <c r="J166" s="42"/>
      <c r="K166" s="42"/>
      <c r="L166" s="42"/>
      <c r="M166" s="42"/>
    </row>
    <row r="167">
      <c r="A167" s="181"/>
      <c r="B167" s="205"/>
      <c r="C167" s="183"/>
      <c r="D167" s="183"/>
      <c r="E167" s="107"/>
      <c r="G167" s="42"/>
      <c r="H167" s="42"/>
      <c r="I167" s="42"/>
      <c r="J167" s="42"/>
      <c r="K167" s="42"/>
      <c r="L167" s="42"/>
      <c r="M167" s="42"/>
    </row>
    <row r="168">
      <c r="A168" s="181"/>
      <c r="B168" s="205"/>
      <c r="C168" s="183"/>
      <c r="D168" s="183"/>
      <c r="E168" s="107"/>
      <c r="G168" s="42"/>
      <c r="H168" s="42"/>
      <c r="I168" s="42"/>
      <c r="J168" s="42"/>
      <c r="K168" s="42"/>
      <c r="L168" s="42"/>
      <c r="M168" s="42"/>
    </row>
    <row r="169">
      <c r="A169" s="188"/>
      <c r="B169" s="186"/>
      <c r="C169" s="189"/>
      <c r="D169" s="186"/>
      <c r="E169" s="107"/>
      <c r="G169" s="42"/>
      <c r="H169" s="42"/>
      <c r="I169" s="42"/>
      <c r="J169" s="42"/>
      <c r="K169" s="42"/>
      <c r="L169" s="42"/>
      <c r="M169" s="42"/>
    </row>
    <row r="170">
      <c r="A170" s="181"/>
      <c r="B170" s="205"/>
      <c r="C170" s="183"/>
      <c r="D170" s="183"/>
      <c r="E170" s="107"/>
      <c r="G170" s="42"/>
      <c r="H170" s="42"/>
      <c r="I170" s="42"/>
      <c r="J170" s="42"/>
      <c r="K170" s="42"/>
      <c r="L170" s="42"/>
      <c r="M170" s="42"/>
    </row>
    <row r="171">
      <c r="A171" s="181"/>
      <c r="B171" s="205"/>
      <c r="C171" s="183"/>
      <c r="D171" s="183"/>
      <c r="E171" s="107"/>
      <c r="G171" s="42"/>
      <c r="H171" s="42"/>
      <c r="I171" s="42"/>
      <c r="J171" s="42"/>
      <c r="K171" s="42"/>
      <c r="L171" s="42"/>
      <c r="M171" s="42"/>
    </row>
    <row r="172">
      <c r="A172" s="188"/>
      <c r="B172" s="186"/>
      <c r="C172" s="189"/>
      <c r="D172" s="186"/>
      <c r="E172" s="107"/>
      <c r="G172" s="42"/>
      <c r="H172" s="42"/>
      <c r="I172" s="42"/>
      <c r="J172" s="42"/>
      <c r="K172" s="42"/>
      <c r="L172" s="42"/>
      <c r="M172" s="42"/>
    </row>
    <row r="173">
      <c r="A173" s="188"/>
      <c r="B173" s="186"/>
      <c r="C173" s="189"/>
      <c r="D173" s="186"/>
      <c r="E173" s="107"/>
      <c r="G173" s="42"/>
      <c r="H173" s="42"/>
      <c r="I173" s="42"/>
      <c r="J173" s="42"/>
      <c r="K173" s="42"/>
      <c r="L173" s="42"/>
      <c r="M173" s="42"/>
    </row>
    <row r="174">
      <c r="A174" s="181"/>
      <c r="B174" s="178"/>
      <c r="C174" s="182"/>
      <c r="D174" s="183"/>
      <c r="E174" s="107"/>
      <c r="G174" s="42"/>
      <c r="H174" s="42"/>
      <c r="I174" s="42"/>
      <c r="J174" s="42"/>
      <c r="K174" s="42"/>
      <c r="L174" s="42"/>
      <c r="M174" s="42"/>
    </row>
    <row r="175">
      <c r="A175" s="181"/>
      <c r="B175" s="178"/>
      <c r="C175" s="182"/>
      <c r="D175" s="183"/>
      <c r="E175" s="107"/>
      <c r="G175" s="42"/>
      <c r="H175" s="42"/>
      <c r="I175" s="42"/>
      <c r="J175" s="42"/>
      <c r="K175" s="42"/>
      <c r="L175" s="42"/>
      <c r="M175" s="42"/>
    </row>
    <row r="176">
      <c r="A176" s="181"/>
      <c r="B176" s="178"/>
      <c r="C176" s="182"/>
      <c r="D176" s="183"/>
      <c r="E176" s="107"/>
      <c r="G176" s="42"/>
      <c r="H176" s="42"/>
      <c r="I176" s="42"/>
      <c r="J176" s="42"/>
      <c r="K176" s="42"/>
      <c r="L176" s="42"/>
      <c r="M176" s="42"/>
    </row>
    <row r="177">
      <c r="A177" s="181"/>
      <c r="B177" s="178"/>
      <c r="C177" s="182"/>
      <c r="D177" s="183"/>
      <c r="E177" s="107"/>
      <c r="G177" s="42"/>
      <c r="H177" s="42"/>
      <c r="I177" s="42"/>
      <c r="J177" s="42"/>
      <c r="K177" s="42"/>
      <c r="L177" s="42"/>
      <c r="M177" s="42"/>
    </row>
    <row r="178">
      <c r="A178" s="188"/>
      <c r="B178" s="186"/>
      <c r="C178" s="189"/>
      <c r="D178" s="186"/>
      <c r="E178" s="107"/>
      <c r="G178" s="42"/>
      <c r="H178" s="42"/>
      <c r="I178" s="42"/>
      <c r="J178" s="42"/>
      <c r="K178" s="42"/>
      <c r="L178" s="42"/>
      <c r="M178" s="42"/>
    </row>
    <row r="179">
      <c r="A179" s="188"/>
      <c r="B179" s="186"/>
      <c r="C179" s="189"/>
      <c r="D179" s="186"/>
      <c r="E179" s="107"/>
      <c r="G179" s="42"/>
      <c r="H179" s="42"/>
      <c r="I179" s="42"/>
      <c r="J179" s="42"/>
      <c r="K179" s="42"/>
      <c r="L179" s="42"/>
      <c r="M179" s="42"/>
    </row>
    <row r="180">
      <c r="A180" s="188"/>
      <c r="B180" s="186"/>
      <c r="C180" s="189"/>
      <c r="D180" s="186"/>
      <c r="E180" s="107"/>
      <c r="G180" s="42"/>
      <c r="H180" s="42"/>
      <c r="I180" s="42"/>
      <c r="J180" s="42"/>
      <c r="K180" s="42"/>
      <c r="L180" s="42"/>
      <c r="M180" s="42"/>
    </row>
    <row r="181">
      <c r="A181" s="190"/>
      <c r="B181" s="184"/>
      <c r="C181" s="194"/>
      <c r="D181" s="194"/>
      <c r="E181" s="107"/>
      <c r="G181" s="42"/>
      <c r="H181" s="42"/>
      <c r="I181" s="42"/>
      <c r="J181" s="42"/>
      <c r="K181" s="42"/>
      <c r="L181" s="42"/>
      <c r="M181" s="42"/>
    </row>
    <row r="182">
      <c r="A182" s="190"/>
      <c r="B182" s="184"/>
      <c r="C182" s="194"/>
      <c r="D182" s="194"/>
      <c r="E182" s="107"/>
      <c r="G182" s="42"/>
      <c r="H182" s="42"/>
      <c r="I182" s="42"/>
      <c r="J182" s="42"/>
      <c r="K182" s="42"/>
      <c r="L182" s="42"/>
      <c r="M182" s="42"/>
    </row>
    <row r="183">
      <c r="A183" s="188"/>
      <c r="B183" s="186"/>
      <c r="C183" s="189"/>
      <c r="D183" s="186"/>
      <c r="E183" s="107"/>
      <c r="G183" s="42"/>
      <c r="H183" s="42"/>
      <c r="I183" s="42"/>
      <c r="J183" s="42"/>
      <c r="K183" s="42"/>
      <c r="L183" s="42"/>
      <c r="M183" s="42"/>
    </row>
    <row r="184">
      <c r="A184" s="188"/>
      <c r="B184" s="186"/>
      <c r="C184" s="189"/>
      <c r="D184" s="186"/>
      <c r="E184" s="107"/>
      <c r="G184" s="42"/>
      <c r="H184" s="42"/>
      <c r="I184" s="42"/>
      <c r="J184" s="42"/>
      <c r="K184" s="42"/>
      <c r="L184" s="42"/>
      <c r="M184" s="42"/>
    </row>
    <row r="185">
      <c r="A185" s="192"/>
      <c r="B185" s="184"/>
      <c r="C185" s="202"/>
      <c r="D185" s="193"/>
      <c r="E185" s="107"/>
      <c r="G185" s="42"/>
      <c r="H185" s="42"/>
      <c r="I185" s="42"/>
      <c r="J185" s="42"/>
      <c r="K185" s="42"/>
      <c r="L185" s="42"/>
      <c r="M185" s="42"/>
    </row>
    <row r="186">
      <c r="A186" s="188"/>
      <c r="B186" s="186"/>
      <c r="C186" s="189"/>
      <c r="D186" s="186"/>
      <c r="E186" s="107"/>
      <c r="G186" s="42"/>
      <c r="H186" s="42"/>
      <c r="I186" s="42"/>
      <c r="J186" s="42"/>
      <c r="K186" s="42"/>
      <c r="L186" s="42"/>
      <c r="M186" s="42"/>
    </row>
    <row r="187">
      <c r="A187" s="190"/>
      <c r="B187" s="184"/>
      <c r="C187" s="194"/>
      <c r="D187" s="194"/>
      <c r="E187" s="107"/>
      <c r="G187" s="42"/>
      <c r="H187" s="42"/>
      <c r="I187" s="42"/>
      <c r="J187" s="42"/>
      <c r="K187" s="42"/>
      <c r="L187" s="42"/>
      <c r="M187" s="42"/>
    </row>
    <row r="188">
      <c r="A188" s="190"/>
      <c r="B188" s="184"/>
      <c r="C188" s="194"/>
      <c r="D188" s="194"/>
      <c r="E188" s="107"/>
      <c r="G188" s="42"/>
      <c r="H188" s="42"/>
      <c r="I188" s="42"/>
      <c r="J188" s="42"/>
      <c r="K188" s="42"/>
      <c r="L188" s="42"/>
      <c r="M188" s="42"/>
    </row>
    <row r="189">
      <c r="A189" s="188"/>
      <c r="B189" s="186"/>
      <c r="C189" s="189"/>
      <c r="D189" s="186"/>
      <c r="E189" s="107"/>
      <c r="G189" s="42"/>
      <c r="H189" s="42"/>
      <c r="I189" s="42"/>
      <c r="J189" s="42"/>
      <c r="K189" s="42"/>
      <c r="L189" s="42"/>
      <c r="M189" s="42"/>
    </row>
    <row r="190">
      <c r="A190" s="188"/>
      <c r="B190" s="186"/>
      <c r="C190" s="189"/>
      <c r="D190" s="186"/>
      <c r="E190" s="107"/>
      <c r="G190" s="42"/>
      <c r="H190" s="42"/>
      <c r="I190" s="42"/>
      <c r="J190" s="42"/>
      <c r="K190" s="42"/>
      <c r="L190" s="42"/>
      <c r="M190" s="42"/>
    </row>
    <row r="191">
      <c r="A191" s="188"/>
      <c r="B191" s="186"/>
      <c r="C191" s="189"/>
      <c r="D191" s="186"/>
      <c r="E191" s="107"/>
      <c r="G191" s="42"/>
      <c r="H191" s="42"/>
      <c r="I191" s="42"/>
      <c r="J191" s="42"/>
      <c r="K191" s="42"/>
      <c r="L191" s="42"/>
      <c r="M191" s="42"/>
    </row>
    <row r="192">
      <c r="A192" s="188"/>
      <c r="B192" s="186"/>
      <c r="C192" s="189"/>
      <c r="D192" s="186"/>
      <c r="E192" s="107"/>
      <c r="G192" s="42"/>
      <c r="H192" s="42"/>
      <c r="I192" s="42"/>
      <c r="J192" s="42"/>
      <c r="K192" s="42"/>
      <c r="L192" s="42"/>
      <c r="M192" s="42"/>
    </row>
    <row r="193">
      <c r="A193" s="188"/>
      <c r="B193" s="186"/>
      <c r="C193" s="189"/>
      <c r="D193" s="186"/>
      <c r="E193" s="107"/>
      <c r="G193" s="42"/>
      <c r="H193" s="42"/>
      <c r="I193" s="42"/>
      <c r="J193" s="42"/>
      <c r="K193" s="42"/>
      <c r="L193" s="42"/>
      <c r="M193" s="42"/>
    </row>
    <row r="194">
      <c r="A194" s="188"/>
      <c r="B194" s="186"/>
      <c r="C194" s="189"/>
      <c r="D194" s="186"/>
      <c r="E194" s="107"/>
      <c r="G194" s="42"/>
      <c r="H194" s="42"/>
      <c r="I194" s="42"/>
      <c r="J194" s="42"/>
      <c r="K194" s="42"/>
      <c r="L194" s="42"/>
      <c r="M194" s="42"/>
    </row>
    <row r="195">
      <c r="A195" s="190"/>
      <c r="B195" s="184"/>
      <c r="C195" s="194"/>
      <c r="D195" s="194"/>
      <c r="E195" s="107"/>
      <c r="G195" s="42"/>
      <c r="H195" s="42"/>
      <c r="I195" s="42"/>
      <c r="J195" s="42"/>
      <c r="K195" s="42"/>
      <c r="L195" s="42"/>
      <c r="M195" s="42"/>
    </row>
    <row r="196">
      <c r="A196" s="188"/>
      <c r="B196" s="186"/>
      <c r="C196" s="189"/>
      <c r="D196" s="186"/>
      <c r="E196" s="107"/>
      <c r="G196" s="42"/>
      <c r="H196" s="42"/>
      <c r="I196" s="42"/>
      <c r="J196" s="42"/>
      <c r="K196" s="42"/>
      <c r="L196" s="42"/>
      <c r="M196" s="42"/>
    </row>
    <row r="197">
      <c r="A197" s="188"/>
      <c r="B197" s="186"/>
      <c r="C197" s="189"/>
      <c r="D197" s="186"/>
      <c r="E197" s="107"/>
      <c r="G197" s="42"/>
      <c r="H197" s="42"/>
      <c r="I197" s="42"/>
      <c r="J197" s="42"/>
      <c r="K197" s="42"/>
      <c r="L197" s="42"/>
      <c r="M197" s="42"/>
    </row>
    <row r="198">
      <c r="A198" s="188"/>
      <c r="B198" s="186"/>
      <c r="C198" s="189"/>
      <c r="D198" s="186"/>
      <c r="E198" s="107"/>
      <c r="G198" s="42"/>
      <c r="H198" s="42"/>
      <c r="I198" s="42"/>
      <c r="J198" s="42"/>
      <c r="K198" s="42"/>
      <c r="L198" s="42"/>
      <c r="M198" s="42"/>
    </row>
    <row r="199">
      <c r="A199" s="188"/>
      <c r="B199" s="186"/>
      <c r="C199" s="189"/>
      <c r="D199" s="186"/>
      <c r="E199" s="107"/>
      <c r="G199" s="42"/>
      <c r="H199" s="42"/>
      <c r="I199" s="42"/>
      <c r="J199" s="42"/>
      <c r="K199" s="42"/>
      <c r="L199" s="42"/>
      <c r="M199" s="42"/>
    </row>
    <row r="200">
      <c r="A200" s="190"/>
      <c r="B200" s="184"/>
      <c r="C200" s="194"/>
      <c r="D200" s="194"/>
      <c r="E200" s="107"/>
      <c r="G200" s="42"/>
      <c r="H200" s="42"/>
      <c r="I200" s="42"/>
      <c r="J200" s="42"/>
      <c r="K200" s="42"/>
      <c r="L200" s="42"/>
      <c r="M200" s="42"/>
    </row>
    <row r="201">
      <c r="A201" s="174"/>
      <c r="B201" s="175"/>
      <c r="C201" s="176"/>
      <c r="D201" s="175"/>
      <c r="E201" s="107"/>
      <c r="G201" s="42"/>
      <c r="H201" s="42"/>
      <c r="I201" s="42"/>
      <c r="J201" s="42"/>
      <c r="K201" s="42"/>
      <c r="L201" s="42"/>
      <c r="M201" s="42"/>
    </row>
    <row r="202">
      <c r="A202" s="177"/>
      <c r="B202" s="178"/>
      <c r="C202" s="180"/>
      <c r="D202" s="180"/>
      <c r="E202" s="107"/>
      <c r="G202" s="42"/>
      <c r="H202" s="42"/>
      <c r="I202" s="42"/>
      <c r="J202" s="42"/>
      <c r="K202" s="42"/>
      <c r="L202" s="42"/>
      <c r="M202" s="42"/>
    </row>
    <row r="203">
      <c r="A203" s="174"/>
      <c r="B203" s="175"/>
      <c r="C203" s="176"/>
      <c r="D203" s="175"/>
      <c r="E203" s="107"/>
      <c r="G203" s="42"/>
      <c r="H203" s="42"/>
      <c r="I203" s="42"/>
      <c r="J203" s="42"/>
      <c r="K203" s="42"/>
      <c r="L203" s="42"/>
      <c r="M203" s="42"/>
    </row>
    <row r="204">
      <c r="A204" s="174"/>
      <c r="B204" s="175"/>
      <c r="C204" s="176"/>
      <c r="D204" s="175"/>
      <c r="E204" s="107"/>
      <c r="G204" s="42"/>
      <c r="H204" s="42"/>
      <c r="I204" s="42"/>
      <c r="J204" s="42"/>
      <c r="K204" s="42"/>
      <c r="L204" s="42"/>
      <c r="M204" s="42"/>
    </row>
    <row r="205">
      <c r="A205" s="174"/>
      <c r="B205" s="175"/>
      <c r="C205" s="176"/>
      <c r="D205" s="175"/>
      <c r="E205" s="107"/>
      <c r="G205" s="42"/>
      <c r="H205" s="42"/>
      <c r="I205" s="42"/>
      <c r="J205" s="42"/>
      <c r="K205" s="42"/>
      <c r="L205" s="42"/>
      <c r="M205" s="42"/>
    </row>
    <row r="206">
      <c r="A206" s="177"/>
      <c r="B206" s="178"/>
      <c r="C206" s="180"/>
      <c r="D206" s="180"/>
      <c r="E206" s="107"/>
      <c r="G206" s="42"/>
      <c r="H206" s="42"/>
      <c r="I206" s="42"/>
      <c r="J206" s="42"/>
      <c r="K206" s="42"/>
      <c r="L206" s="42"/>
      <c r="M206" s="42"/>
    </row>
    <row r="207">
      <c r="A207" s="181"/>
      <c r="B207" s="178"/>
      <c r="C207" s="182"/>
      <c r="D207" s="183"/>
      <c r="E207" s="107"/>
      <c r="G207" s="42"/>
      <c r="H207" s="42"/>
      <c r="I207" s="42"/>
      <c r="J207" s="42"/>
      <c r="K207" s="42"/>
      <c r="L207" s="42"/>
      <c r="M207" s="42"/>
    </row>
    <row r="208">
      <c r="A208" s="181"/>
      <c r="B208" s="178"/>
      <c r="C208" s="182"/>
      <c r="D208" s="183"/>
      <c r="E208" s="107"/>
      <c r="G208" s="42"/>
      <c r="H208" s="42"/>
      <c r="I208" s="42"/>
      <c r="J208" s="42"/>
      <c r="K208" s="42"/>
      <c r="L208" s="42"/>
      <c r="M208" s="42"/>
    </row>
    <row r="209">
      <c r="A209" s="181"/>
      <c r="B209" s="178"/>
      <c r="C209" s="182"/>
      <c r="D209" s="183"/>
      <c r="E209" s="107"/>
      <c r="G209" s="42"/>
      <c r="H209" s="42"/>
      <c r="I209" s="42"/>
      <c r="J209" s="42"/>
      <c r="K209" s="42"/>
      <c r="L209" s="42"/>
      <c r="M209" s="42"/>
    </row>
    <row r="210">
      <c r="A210" s="177"/>
      <c r="B210" s="178"/>
      <c r="C210" s="180"/>
      <c r="D210" s="180"/>
      <c r="E210" s="107"/>
      <c r="G210" s="42"/>
      <c r="H210" s="42"/>
      <c r="I210" s="42"/>
      <c r="J210" s="42"/>
      <c r="K210" s="42"/>
      <c r="L210" s="42"/>
      <c r="M210" s="42"/>
    </row>
    <row r="211">
      <c r="A211" s="177"/>
      <c r="B211" s="178"/>
      <c r="C211" s="180"/>
      <c r="D211" s="180"/>
      <c r="E211" s="107"/>
      <c r="G211" s="42"/>
      <c r="H211" s="42"/>
      <c r="I211" s="42"/>
      <c r="J211" s="42"/>
      <c r="K211" s="42"/>
      <c r="L211" s="42"/>
      <c r="M211" s="42"/>
    </row>
    <row r="212">
      <c r="A212" s="174"/>
      <c r="B212" s="175"/>
      <c r="C212" s="176"/>
      <c r="D212" s="175"/>
      <c r="E212" s="107"/>
      <c r="G212" s="42"/>
      <c r="H212" s="42"/>
      <c r="I212" s="42"/>
      <c r="J212" s="42"/>
      <c r="K212" s="42"/>
      <c r="L212" s="42"/>
      <c r="M212" s="42"/>
    </row>
    <row r="213">
      <c r="A213" s="174"/>
      <c r="B213" s="175"/>
      <c r="C213" s="176"/>
      <c r="D213" s="175"/>
      <c r="E213" s="107"/>
      <c r="G213" s="42"/>
      <c r="H213" s="42"/>
      <c r="I213" s="42"/>
      <c r="J213" s="42"/>
      <c r="K213" s="42"/>
      <c r="L213" s="42"/>
      <c r="M213" s="42"/>
    </row>
    <row r="214">
      <c r="A214" s="174"/>
      <c r="B214" s="175"/>
      <c r="C214" s="176"/>
      <c r="D214" s="175"/>
      <c r="E214" s="107"/>
      <c r="G214" s="42"/>
      <c r="H214" s="42"/>
      <c r="I214" s="42"/>
      <c r="J214" s="42"/>
      <c r="K214" s="42"/>
      <c r="L214" s="42"/>
      <c r="M214" s="42"/>
    </row>
    <row r="215">
      <c r="A215" s="174"/>
      <c r="B215" s="175"/>
      <c r="C215" s="176"/>
      <c r="D215" s="175"/>
      <c r="E215" s="107"/>
      <c r="G215" s="42"/>
      <c r="H215" s="42"/>
      <c r="I215" s="42"/>
      <c r="J215" s="42"/>
      <c r="K215" s="42"/>
      <c r="L215" s="42"/>
      <c r="M215" s="42"/>
    </row>
    <row r="216">
      <c r="A216" s="174"/>
      <c r="B216" s="175"/>
      <c r="C216" s="176"/>
      <c r="D216" s="175"/>
      <c r="E216" s="107"/>
      <c r="G216" s="42"/>
      <c r="H216" s="42"/>
      <c r="I216" s="42"/>
      <c r="J216" s="42"/>
      <c r="K216" s="42"/>
      <c r="L216" s="42"/>
      <c r="M216" s="42"/>
    </row>
    <row r="217">
      <c r="A217" s="174"/>
      <c r="B217" s="175"/>
      <c r="C217" s="176"/>
      <c r="D217" s="175"/>
      <c r="E217" s="107"/>
      <c r="G217" s="42"/>
      <c r="H217" s="42"/>
      <c r="I217" s="42"/>
      <c r="J217" s="42"/>
      <c r="K217" s="42"/>
      <c r="L217" s="42"/>
      <c r="M217" s="42"/>
    </row>
    <row r="218">
      <c r="A218" s="181"/>
      <c r="B218" s="178"/>
      <c r="C218" s="182"/>
      <c r="D218" s="183"/>
      <c r="E218" s="107"/>
      <c r="G218" s="42"/>
      <c r="H218" s="42"/>
      <c r="I218" s="42"/>
      <c r="J218" s="42"/>
      <c r="K218" s="42"/>
      <c r="L218" s="42"/>
      <c r="M218" s="42"/>
    </row>
    <row r="219">
      <c r="A219" s="181"/>
      <c r="B219" s="178"/>
      <c r="C219" s="182"/>
      <c r="D219" s="183"/>
      <c r="E219" s="107"/>
      <c r="G219" s="42"/>
      <c r="H219" s="42"/>
      <c r="I219" s="42"/>
      <c r="J219" s="42"/>
      <c r="K219" s="42"/>
      <c r="L219" s="42"/>
      <c r="M219" s="42"/>
    </row>
    <row r="220">
      <c r="A220" s="181"/>
      <c r="B220" s="178"/>
      <c r="C220" s="182"/>
      <c r="D220" s="183"/>
      <c r="E220" s="107"/>
      <c r="G220" s="42"/>
      <c r="H220" s="42"/>
      <c r="I220" s="42"/>
      <c r="J220" s="42"/>
      <c r="K220" s="42"/>
      <c r="L220" s="42"/>
      <c r="M220" s="42"/>
    </row>
    <row r="221">
      <c r="A221" s="174"/>
      <c r="B221" s="175"/>
      <c r="C221" s="176"/>
      <c r="D221" s="175"/>
      <c r="E221" s="107"/>
      <c r="G221" s="42"/>
      <c r="H221" s="42"/>
      <c r="I221" s="42"/>
      <c r="J221" s="42"/>
      <c r="K221" s="42"/>
      <c r="L221" s="42"/>
      <c r="M221" s="42"/>
    </row>
    <row r="222">
      <c r="A222" s="174"/>
      <c r="B222" s="175"/>
      <c r="C222" s="176"/>
      <c r="D222" s="175"/>
      <c r="E222" s="107"/>
      <c r="G222" s="42"/>
      <c r="H222" s="42"/>
      <c r="I222" s="42"/>
      <c r="J222" s="42"/>
      <c r="K222" s="42"/>
      <c r="L222" s="42"/>
      <c r="M222" s="42"/>
    </row>
    <row r="223">
      <c r="A223" s="174"/>
      <c r="B223" s="175"/>
      <c r="C223" s="176"/>
      <c r="D223" s="175"/>
      <c r="E223" s="107"/>
      <c r="G223" s="42"/>
      <c r="H223" s="42"/>
      <c r="I223" s="42"/>
      <c r="J223" s="42"/>
      <c r="K223" s="42"/>
      <c r="L223" s="42"/>
      <c r="M223" s="42"/>
    </row>
    <row r="224">
      <c r="A224" s="177"/>
      <c r="B224" s="178"/>
      <c r="C224" s="180"/>
      <c r="D224" s="180"/>
      <c r="E224" s="107"/>
      <c r="G224" s="42"/>
      <c r="H224" s="42"/>
      <c r="I224" s="42"/>
      <c r="J224" s="42"/>
      <c r="K224" s="42"/>
      <c r="L224" s="42"/>
      <c r="M224" s="42"/>
    </row>
    <row r="225">
      <c r="A225" s="177"/>
      <c r="B225" s="178"/>
      <c r="C225" s="180"/>
      <c r="D225" s="180"/>
      <c r="E225" s="107"/>
      <c r="G225" s="42"/>
      <c r="H225" s="42"/>
      <c r="I225" s="42"/>
      <c r="J225" s="42"/>
      <c r="K225" s="42"/>
      <c r="L225" s="42"/>
      <c r="M225" s="42"/>
    </row>
    <row r="226">
      <c r="A226" s="177"/>
      <c r="B226" s="178"/>
      <c r="C226" s="180"/>
      <c r="D226" s="180"/>
      <c r="E226" s="107"/>
      <c r="G226" s="42"/>
      <c r="H226" s="42"/>
      <c r="I226" s="42"/>
      <c r="J226" s="42"/>
      <c r="K226" s="42"/>
      <c r="L226" s="42"/>
      <c r="M226" s="42"/>
    </row>
    <row r="227">
      <c r="A227" s="203"/>
      <c r="B227" s="203"/>
      <c r="C227" s="203"/>
      <c r="D227" s="203"/>
      <c r="E227" s="107"/>
      <c r="G227" s="42"/>
      <c r="H227" s="42"/>
      <c r="I227" s="42"/>
      <c r="J227" s="42"/>
      <c r="K227" s="42"/>
      <c r="L227" s="42"/>
      <c r="M227" s="42"/>
    </row>
    <row r="228">
      <c r="A228" s="203"/>
      <c r="B228" s="203"/>
      <c r="C228" s="203"/>
      <c r="D228" s="203"/>
      <c r="E228" s="107"/>
      <c r="G228" s="42"/>
      <c r="H228" s="42"/>
      <c r="I228" s="42"/>
      <c r="J228" s="42"/>
      <c r="K228" s="42"/>
      <c r="L228" s="42"/>
      <c r="M228" s="42"/>
    </row>
    <row r="229">
      <c r="A229" s="203"/>
      <c r="B229" s="203"/>
      <c r="C229" s="203"/>
      <c r="D229" s="203"/>
      <c r="E229" s="107"/>
      <c r="G229" s="42"/>
      <c r="H229" s="42"/>
      <c r="I229" s="42"/>
      <c r="J229" s="42"/>
      <c r="K229" s="42"/>
      <c r="L229" s="42"/>
      <c r="M229" s="42"/>
    </row>
    <row r="230">
      <c r="A230" s="203"/>
      <c r="B230" s="203"/>
      <c r="C230" s="203"/>
      <c r="D230" s="203"/>
      <c r="E230" s="107"/>
      <c r="G230" s="42"/>
      <c r="H230" s="42"/>
      <c r="I230" s="42"/>
      <c r="J230" s="42"/>
      <c r="K230" s="42"/>
      <c r="L230" s="42"/>
      <c r="M230" s="42"/>
    </row>
    <row r="231">
      <c r="A231" s="203"/>
      <c r="B231" s="203"/>
      <c r="C231" s="203"/>
      <c r="D231" s="203"/>
      <c r="E231" s="107"/>
      <c r="G231" s="42"/>
      <c r="H231" s="42"/>
      <c r="I231" s="42"/>
      <c r="J231" s="42"/>
      <c r="K231" s="42"/>
      <c r="L231" s="42"/>
      <c r="M231" s="42"/>
    </row>
    <row r="232">
      <c r="A232" s="203"/>
      <c r="B232" s="203"/>
      <c r="C232" s="203"/>
      <c r="D232" s="203"/>
      <c r="E232" s="107"/>
      <c r="G232" s="42"/>
      <c r="H232" s="42"/>
      <c r="I232" s="42"/>
      <c r="J232" s="42"/>
      <c r="K232" s="42"/>
      <c r="L232" s="42"/>
      <c r="M232" s="42"/>
    </row>
    <row r="233">
      <c r="A233" s="203"/>
      <c r="B233" s="203"/>
      <c r="C233" s="203"/>
      <c r="D233" s="203"/>
      <c r="E233" s="107"/>
      <c r="G233" s="42"/>
      <c r="H233" s="42"/>
      <c r="I233" s="42"/>
      <c r="J233" s="42"/>
      <c r="K233" s="42"/>
      <c r="L233" s="42"/>
      <c r="M233" s="42"/>
    </row>
    <row r="234">
      <c r="A234" s="203"/>
      <c r="B234" s="203"/>
      <c r="C234" s="203"/>
      <c r="D234" s="203"/>
      <c r="E234" s="107"/>
      <c r="G234" s="42"/>
      <c r="H234" s="42"/>
      <c r="I234" s="42"/>
      <c r="J234" s="42"/>
      <c r="K234" s="42"/>
      <c r="L234" s="42"/>
      <c r="M234" s="42"/>
    </row>
    <row r="235">
      <c r="A235" s="203"/>
      <c r="B235" s="203"/>
      <c r="C235" s="203"/>
      <c r="D235" s="203"/>
      <c r="E235" s="107"/>
      <c r="G235" s="42"/>
      <c r="H235" s="42"/>
      <c r="I235" s="42"/>
      <c r="J235" s="42"/>
      <c r="K235" s="42"/>
      <c r="L235" s="42"/>
      <c r="M235" s="42"/>
    </row>
    <row r="236">
      <c r="A236" s="203"/>
      <c r="B236" s="203"/>
      <c r="C236" s="203"/>
      <c r="D236" s="203"/>
      <c r="E236" s="107"/>
      <c r="G236" s="42"/>
      <c r="H236" s="42"/>
      <c r="I236" s="42"/>
      <c r="J236" s="42"/>
      <c r="K236" s="42"/>
      <c r="L236" s="42"/>
      <c r="M236" s="42"/>
    </row>
    <row r="237">
      <c r="A237" s="203"/>
      <c r="B237" s="203"/>
      <c r="C237" s="203"/>
      <c r="D237" s="203"/>
      <c r="E237" s="132"/>
      <c r="G237" s="42"/>
      <c r="H237" s="42"/>
      <c r="I237" s="42"/>
      <c r="J237" s="42"/>
      <c r="K237" s="42"/>
      <c r="L237" s="42"/>
      <c r="M237" s="42"/>
    </row>
    <row r="238">
      <c r="A238" s="203"/>
      <c r="B238" s="203"/>
      <c r="C238" s="203"/>
      <c r="D238" s="203"/>
      <c r="E238" s="107"/>
      <c r="G238" s="42"/>
      <c r="H238" s="42"/>
      <c r="I238" s="42"/>
      <c r="J238" s="42"/>
      <c r="K238" s="42"/>
      <c r="L238" s="42"/>
      <c r="M238" s="42"/>
    </row>
    <row r="239">
      <c r="A239" s="203"/>
      <c r="B239" s="203"/>
      <c r="C239" s="203"/>
      <c r="D239" s="203"/>
      <c r="E239" s="107"/>
      <c r="G239" s="42"/>
      <c r="H239" s="42"/>
      <c r="I239" s="42"/>
      <c r="J239" s="42"/>
      <c r="K239" s="42"/>
      <c r="L239" s="42"/>
      <c r="M239" s="42"/>
    </row>
    <row r="240">
      <c r="A240" s="203"/>
      <c r="B240" s="203"/>
      <c r="C240" s="203"/>
      <c r="D240" s="203"/>
      <c r="E240" s="107"/>
      <c r="G240" s="42"/>
      <c r="H240" s="42"/>
      <c r="I240" s="42"/>
      <c r="J240" s="42"/>
      <c r="K240" s="42"/>
      <c r="L240" s="42"/>
      <c r="M240" s="42"/>
    </row>
    <row r="241">
      <c r="A241" s="203"/>
      <c r="B241" s="203"/>
      <c r="C241" s="203"/>
      <c r="D241" s="203"/>
      <c r="E241" s="107"/>
      <c r="G241" s="42"/>
      <c r="H241" s="42"/>
      <c r="I241" s="42"/>
      <c r="J241" s="42"/>
      <c r="K241" s="42"/>
      <c r="L241" s="42"/>
      <c r="M241" s="42"/>
    </row>
    <row r="242">
      <c r="A242" s="203"/>
      <c r="B242" s="203"/>
      <c r="C242" s="203"/>
      <c r="D242" s="203"/>
      <c r="E242" s="107"/>
      <c r="G242" s="42"/>
      <c r="H242" s="42"/>
      <c r="I242" s="42"/>
      <c r="J242" s="42"/>
      <c r="K242" s="42"/>
      <c r="L242" s="42"/>
      <c r="M242" s="42"/>
    </row>
    <row r="243">
      <c r="A243" s="203"/>
      <c r="B243" s="203"/>
      <c r="C243" s="203"/>
      <c r="D243" s="203"/>
      <c r="E243" s="107"/>
      <c r="G243" s="42"/>
      <c r="H243" s="42"/>
      <c r="I243" s="42"/>
      <c r="J243" s="42"/>
      <c r="K243" s="42"/>
      <c r="L243" s="42"/>
      <c r="M243" s="42"/>
    </row>
    <row r="244">
      <c r="A244" s="203"/>
      <c r="B244" s="203"/>
      <c r="C244" s="203"/>
      <c r="D244" s="203"/>
      <c r="E244" s="107"/>
      <c r="G244" s="42"/>
      <c r="H244" s="42"/>
      <c r="I244" s="42"/>
      <c r="J244" s="42"/>
      <c r="K244" s="42"/>
      <c r="L244" s="42"/>
      <c r="M244" s="42"/>
    </row>
    <row r="245">
      <c r="A245" s="203"/>
      <c r="B245" s="203"/>
      <c r="C245" s="203"/>
      <c r="D245" s="203"/>
      <c r="E245" s="107"/>
      <c r="G245" s="42"/>
      <c r="H245" s="42"/>
      <c r="I245" s="42"/>
      <c r="J245" s="42"/>
      <c r="K245" s="42"/>
      <c r="L245" s="42"/>
      <c r="M245" s="42"/>
    </row>
    <row r="246">
      <c r="A246" s="181"/>
      <c r="B246" s="178"/>
      <c r="C246" s="182"/>
      <c r="D246" s="183"/>
      <c r="E246" s="107"/>
      <c r="G246" s="42"/>
      <c r="H246" s="42"/>
      <c r="I246" s="42"/>
      <c r="J246" s="42"/>
      <c r="K246" s="42"/>
      <c r="L246" s="42"/>
      <c r="M246" s="42"/>
    </row>
    <row r="247">
      <c r="A247" s="181"/>
      <c r="B247" s="178"/>
      <c r="C247" s="182"/>
      <c r="D247" s="183"/>
      <c r="E247" s="107"/>
      <c r="G247" s="42"/>
      <c r="H247" s="42"/>
      <c r="I247" s="42"/>
      <c r="J247" s="42"/>
      <c r="K247" s="42"/>
      <c r="L247" s="42"/>
      <c r="M247" s="42"/>
    </row>
    <row r="248">
      <c r="A248" s="181"/>
      <c r="B248" s="178"/>
      <c r="C248" s="182"/>
      <c r="D248" s="183"/>
      <c r="E248" s="107"/>
      <c r="G248" s="42"/>
      <c r="H248" s="42"/>
      <c r="I248" s="42"/>
      <c r="J248" s="42"/>
      <c r="K248" s="42"/>
      <c r="L248" s="42"/>
      <c r="M248" s="42"/>
    </row>
    <row r="249">
      <c r="A249" s="181"/>
      <c r="B249" s="178"/>
      <c r="C249" s="182"/>
      <c r="D249" s="183"/>
      <c r="E249" s="107"/>
      <c r="G249" s="42"/>
      <c r="H249" s="42"/>
      <c r="I249" s="42"/>
      <c r="J249" s="42"/>
      <c r="K249" s="42"/>
      <c r="L249" s="42"/>
      <c r="M249" s="42"/>
    </row>
    <row r="250">
      <c r="A250" s="181"/>
      <c r="B250" s="178"/>
      <c r="C250" s="182"/>
      <c r="D250" s="183"/>
      <c r="E250" s="107"/>
      <c r="G250" s="42"/>
      <c r="H250" s="42"/>
      <c r="I250" s="42"/>
      <c r="J250" s="42"/>
      <c r="K250" s="42"/>
      <c r="L250" s="42"/>
      <c r="M250" s="42"/>
    </row>
    <row r="251">
      <c r="A251" s="181"/>
      <c r="B251" s="178"/>
      <c r="C251" s="182"/>
      <c r="D251" s="183"/>
      <c r="E251" s="107"/>
      <c r="G251" s="42"/>
      <c r="H251" s="42"/>
      <c r="I251" s="42"/>
      <c r="J251" s="42"/>
      <c r="K251" s="42"/>
      <c r="L251" s="42"/>
      <c r="M251" s="42"/>
    </row>
    <row r="252">
      <c r="A252" s="181"/>
      <c r="B252" s="178"/>
      <c r="C252" s="182"/>
      <c r="D252" s="183"/>
      <c r="E252" s="107"/>
      <c r="G252" s="42"/>
      <c r="H252" s="42"/>
      <c r="I252" s="42"/>
      <c r="J252" s="42"/>
      <c r="K252" s="42"/>
      <c r="L252" s="42"/>
      <c r="M252" s="42"/>
    </row>
    <row r="253">
      <c r="A253" s="181"/>
      <c r="B253" s="178"/>
      <c r="C253" s="182"/>
      <c r="D253" s="183"/>
      <c r="E253" s="107"/>
      <c r="G253" s="42"/>
      <c r="H253" s="42"/>
      <c r="I253" s="42"/>
      <c r="J253" s="42"/>
      <c r="K253" s="42"/>
      <c r="L253" s="42"/>
      <c r="M253" s="42"/>
    </row>
    <row r="254">
      <c r="A254" s="181"/>
      <c r="B254" s="178"/>
      <c r="C254" s="182"/>
      <c r="D254" s="183"/>
      <c r="E254" s="107"/>
      <c r="G254" s="42"/>
      <c r="H254" s="42"/>
      <c r="I254" s="42"/>
      <c r="J254" s="42"/>
      <c r="K254" s="42"/>
      <c r="L254" s="42"/>
      <c r="M254" s="42"/>
    </row>
    <row r="255">
      <c r="A255" s="181"/>
      <c r="B255" s="178"/>
      <c r="C255" s="182"/>
      <c r="D255" s="183"/>
      <c r="E255" s="107"/>
      <c r="G255" s="42"/>
      <c r="H255" s="42"/>
      <c r="I255" s="42"/>
      <c r="J255" s="42"/>
      <c r="K255" s="42"/>
      <c r="L255" s="42"/>
      <c r="M255" s="42"/>
    </row>
    <row r="256">
      <c r="A256" s="181"/>
      <c r="B256" s="178"/>
      <c r="C256" s="182"/>
      <c r="D256" s="183"/>
      <c r="E256" s="107"/>
      <c r="G256" s="42"/>
      <c r="H256" s="42"/>
      <c r="I256" s="42"/>
      <c r="J256" s="42"/>
      <c r="K256" s="42"/>
      <c r="L256" s="42"/>
      <c r="M256" s="42"/>
    </row>
    <row r="257">
      <c r="A257" s="181"/>
      <c r="B257" s="178"/>
      <c r="C257" s="182"/>
      <c r="D257" s="183"/>
      <c r="E257" s="107"/>
      <c r="G257" s="42"/>
      <c r="H257" s="42"/>
      <c r="I257" s="42"/>
      <c r="J257" s="42"/>
      <c r="K257" s="42"/>
      <c r="L257" s="42"/>
      <c r="M257" s="42"/>
    </row>
    <row r="258">
      <c r="A258" s="181"/>
      <c r="B258" s="178"/>
      <c r="C258" s="182"/>
      <c r="D258" s="183"/>
      <c r="E258" s="107"/>
      <c r="G258" s="42"/>
      <c r="H258" s="42"/>
      <c r="I258" s="42"/>
      <c r="J258" s="42"/>
      <c r="K258" s="42"/>
      <c r="L258" s="42"/>
      <c r="M258" s="42"/>
    </row>
    <row r="259">
      <c r="A259" s="44"/>
      <c r="B259" s="113"/>
      <c r="C259" s="93"/>
      <c r="D259" s="41"/>
      <c r="E259" s="107"/>
      <c r="G259" s="42"/>
      <c r="H259" s="42"/>
      <c r="I259" s="42"/>
      <c r="J259" s="42"/>
      <c r="K259" s="42"/>
      <c r="L259" s="42"/>
      <c r="M259" s="42"/>
    </row>
    <row r="260">
      <c r="A260" s="44"/>
      <c r="B260" s="113"/>
      <c r="C260" s="93"/>
      <c r="D260" s="41"/>
      <c r="E260" s="107"/>
      <c r="G260" s="42"/>
      <c r="H260" s="42"/>
      <c r="I260" s="42"/>
      <c r="J260" s="42"/>
      <c r="K260" s="42"/>
      <c r="L260" s="42"/>
      <c r="M260" s="42"/>
    </row>
    <row r="261">
      <c r="A261" s="44"/>
      <c r="B261" s="113"/>
      <c r="C261" s="93"/>
      <c r="D261" s="41"/>
      <c r="E261" s="107"/>
      <c r="G261" s="42"/>
      <c r="H261" s="42"/>
      <c r="I261" s="42"/>
      <c r="J261" s="42"/>
      <c r="K261" s="42"/>
      <c r="L261" s="42"/>
      <c r="M261" s="42"/>
    </row>
    <row r="262">
      <c r="A262" s="44"/>
      <c r="B262" s="113"/>
      <c r="C262" s="93"/>
      <c r="D262" s="41"/>
      <c r="E262" s="107"/>
      <c r="G262" s="42"/>
      <c r="H262" s="42"/>
      <c r="I262" s="42"/>
      <c r="J262" s="42"/>
      <c r="K262" s="42"/>
      <c r="L262" s="42"/>
      <c r="M262" s="42"/>
    </row>
  </sheetData>
  <autoFilter ref="$A$31:$D$105">
    <filterColumn colId="1">
      <filters>
        <filter val="Groceries"/>
      </filters>
    </filterColumn>
    <sortState ref="A31:D105">
      <sortCondition descending="1" ref="C31:C105"/>
      <sortCondition ref="A31:A105"/>
    </sortState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7 D32 D34 D46 D58:D59 B31:B109 B115:B118 D148 D151 D153 D155 D158 D163 D165 D169 D172:D173 D178:D180 D183:D184 D186 D189:D194 D196:D199 D201 B123:B204 D203:D205 D212:D217 D221:D223 B206:B226 B246:B262">
      <formula1>'Hidden list and Figures'!$A$3:$A$15</formula1>
    </dataValidation>
    <dataValidation type="custom" allowBlank="1" showDropDown="1" showInputMessage="1" prompt="Select a date" sqref="A32:A43 A45:A46 A49 A52 A54:A104 A115:A118 A123:A226 A246:A262">
      <formula1>OR(NOT(ISERROR(DATEVALUE(A32))), AND(ISNUMBER(A32), LEFT(CELL("format", A32))="D"))</formula1>
    </dataValidation>
    <dataValidation type="list" allowBlank="1" sqref="B205">
      <formula1>'Hidden list and Figures'!$A$3:$A$15</formula1>
    </dataValidation>
  </dataValidations>
  <hyperlinks>
    <hyperlink r:id="rId1" ref="D42"/>
    <hyperlink r:id="rId2" ref="D67"/>
    <hyperlink r:id="rId3" ref="D93"/>
  </hyperlinks>
  <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sumif($B$20:$C$548,A6,$C$20:$C$548)</f>
        <v>1772.356667</v>
      </c>
      <c r="D6" s="17">
        <f t="shared" ref="D6:D16" si="2">B6-C6</f>
        <v>891.3233333</v>
      </c>
      <c r="E6" s="18">
        <f t="shared" ref="E6:E17" si="3">D6/B6</f>
        <v>0.3346210255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3038.0</v>
      </c>
    </row>
    <row r="8">
      <c r="A8" s="21" t="s">
        <v>14</v>
      </c>
      <c r="B8" s="22">
        <v>250.0</v>
      </c>
      <c r="C8" s="16">
        <f t="shared" si="1"/>
        <v>0</v>
      </c>
      <c r="D8" s="23">
        <f t="shared" si="2"/>
        <v>250</v>
      </c>
      <c r="E8" s="18">
        <f t="shared" si="3"/>
        <v>1</v>
      </c>
      <c r="G8" s="64" t="s">
        <v>27</v>
      </c>
      <c r="H8" s="92">
        <f>SUM(H6:H7)</f>
        <v>3038</v>
      </c>
    </row>
    <row r="9">
      <c r="A9" s="24" t="s">
        <v>15</v>
      </c>
      <c r="B9" s="22">
        <v>400.0</v>
      </c>
      <c r="C9" s="16">
        <f t="shared" si="1"/>
        <v>183.51</v>
      </c>
      <c r="D9" s="23">
        <f t="shared" si="2"/>
        <v>216.49</v>
      </c>
      <c r="E9" s="18">
        <f t="shared" si="3"/>
        <v>0.541225</v>
      </c>
    </row>
    <row r="10">
      <c r="A10" s="24" t="s">
        <v>17</v>
      </c>
      <c r="B10" s="22">
        <v>400.0</v>
      </c>
      <c r="C10" s="16">
        <f t="shared" si="1"/>
        <v>782.76</v>
      </c>
      <c r="D10" s="23">
        <f t="shared" si="2"/>
        <v>-382.76</v>
      </c>
      <c r="E10" s="18">
        <f t="shared" si="3"/>
        <v>-0.9569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519.19</v>
      </c>
      <c r="D11" s="23">
        <f t="shared" si="2"/>
        <v>-319.19</v>
      </c>
      <c r="E11" s="18">
        <f t="shared" si="3"/>
        <v>-1.59595</v>
      </c>
      <c r="G11" s="19" t="s">
        <v>18</v>
      </c>
      <c r="H11" s="14">
        <f>sum(C17)</f>
        <v>3870.236667</v>
      </c>
    </row>
    <row r="12">
      <c r="A12" s="24" t="s">
        <v>79</v>
      </c>
      <c r="B12" s="22">
        <v>500.0</v>
      </c>
      <c r="C12" s="16">
        <f t="shared" si="1"/>
        <v>67</v>
      </c>
      <c r="D12" s="23">
        <f t="shared" si="2"/>
        <v>433</v>
      </c>
      <c r="E12" s="18">
        <f t="shared" si="3"/>
        <v>0.866</v>
      </c>
      <c r="H12" s="14"/>
    </row>
    <row r="13">
      <c r="A13" s="25" t="s">
        <v>22</v>
      </c>
      <c r="B13" s="22">
        <v>200.0</v>
      </c>
      <c r="C13" s="16">
        <f t="shared" si="1"/>
        <v>6</v>
      </c>
      <c r="D13" s="23">
        <f t="shared" si="2"/>
        <v>194</v>
      </c>
      <c r="E13" s="18">
        <f t="shared" si="3"/>
        <v>0.97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138.36</v>
      </c>
      <c r="D14" s="23">
        <f t="shared" si="2"/>
        <v>-138.36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401.06</v>
      </c>
      <c r="D15" s="28">
        <f t="shared" si="2"/>
        <v>-101.06</v>
      </c>
      <c r="E15" s="18">
        <f t="shared" si="3"/>
        <v>-0.3368666667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SUMIF($B$20:$C$262,"Travel",$C$20:$C$262)</f>
        <v>67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3870.236667</v>
      </c>
      <c r="D17" s="31">
        <f>SUM(D6:D15)</f>
        <v>1043.443333</v>
      </c>
      <c r="E17" s="18">
        <f t="shared" si="3"/>
        <v>0.2123547592</v>
      </c>
      <c r="F17" s="36"/>
      <c r="G17" s="13" t="s">
        <v>28</v>
      </c>
      <c r="H17" s="33">
        <f>500-SUMIF($B$20:$C$262,"Travel",$C$20:$C$262)+'April 2024'!H17</f>
        <v>936.24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90.0</v>
      </c>
      <c r="D21" s="95" t="s">
        <v>36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102">
        <f>460/6</f>
        <v>76.66666667</v>
      </c>
      <c r="D22" s="41" t="s">
        <v>23</v>
      </c>
      <c r="E22" s="41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2.87</v>
      </c>
      <c r="D23" s="41" t="s">
        <v>39</v>
      </c>
      <c r="E23" s="41"/>
      <c r="G23" s="42"/>
      <c r="H23" s="40"/>
      <c r="I23" s="42"/>
      <c r="J23" s="40"/>
      <c r="K23" s="42"/>
      <c r="L23" s="42"/>
      <c r="M23" s="42"/>
    </row>
    <row r="24">
      <c r="A24" s="40" t="s">
        <v>32</v>
      </c>
      <c r="B24" s="40" t="s">
        <v>10</v>
      </c>
      <c r="C24" s="41">
        <v>2.99</v>
      </c>
      <c r="D24" s="41" t="s">
        <v>40</v>
      </c>
      <c r="E24" s="41"/>
      <c r="G24" s="40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5.83</v>
      </c>
      <c r="D25" s="41" t="s">
        <v>41</v>
      </c>
      <c r="E25" s="41"/>
      <c r="G25" s="40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6.0</v>
      </c>
      <c r="D26" s="41" t="s">
        <v>83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112.0</v>
      </c>
      <c r="D27" s="41" t="s">
        <v>42</v>
      </c>
      <c r="E27" s="41"/>
      <c r="G27" s="42"/>
      <c r="H27" s="40"/>
      <c r="I27" s="42"/>
      <c r="J27" s="42"/>
      <c r="K27" s="42"/>
      <c r="L27" s="42"/>
      <c r="M27" s="42"/>
    </row>
    <row r="28">
      <c r="E28" s="41"/>
      <c r="G28" s="40"/>
      <c r="H28" s="42"/>
      <c r="I28" s="42"/>
      <c r="J28" s="42"/>
      <c r="K28" s="42"/>
      <c r="L28" s="42"/>
      <c r="M28" s="42"/>
    </row>
    <row r="29">
      <c r="E29" s="41"/>
      <c r="G29" s="42"/>
      <c r="H29" s="42"/>
      <c r="I29" s="42"/>
      <c r="J29" s="42"/>
      <c r="K29" s="42"/>
      <c r="L29" s="42"/>
      <c r="M29" s="42"/>
    </row>
    <row r="30">
      <c r="A30" s="38" t="s">
        <v>29</v>
      </c>
      <c r="B30" s="38" t="s">
        <v>4</v>
      </c>
      <c r="C30" s="39" t="s">
        <v>30</v>
      </c>
      <c r="D30" s="38" t="s">
        <v>31</v>
      </c>
      <c r="E30" s="41"/>
      <c r="G30" s="40"/>
      <c r="H30" s="42"/>
      <c r="I30" s="42"/>
      <c r="J30" s="42"/>
      <c r="K30" s="42"/>
      <c r="L30" s="42"/>
      <c r="M30" s="42"/>
    </row>
    <row r="31">
      <c r="A31" s="44"/>
      <c r="B31" s="40"/>
      <c r="C31" s="41"/>
      <c r="D31" s="41"/>
      <c r="E31" s="41"/>
      <c r="G31" s="40"/>
      <c r="H31" s="42"/>
      <c r="I31" s="42"/>
      <c r="J31" s="42"/>
      <c r="K31" s="42"/>
      <c r="L31" s="42"/>
      <c r="M31" s="42"/>
    </row>
    <row r="32" ht="18.0" customHeight="1">
      <c r="A32" s="197">
        <v>45852.0</v>
      </c>
      <c r="B32" s="198" t="s">
        <v>24</v>
      </c>
      <c r="C32" s="199">
        <v>20.0</v>
      </c>
      <c r="D32" s="198" t="s">
        <v>1317</v>
      </c>
      <c r="E32" s="137"/>
      <c r="G32" s="42"/>
      <c r="H32" s="42"/>
      <c r="I32" s="42"/>
      <c r="J32" s="42"/>
      <c r="K32" s="42"/>
      <c r="L32" s="42"/>
      <c r="M32" s="42"/>
    </row>
    <row r="33">
      <c r="A33" s="197">
        <v>45840.0</v>
      </c>
      <c r="B33" s="198" t="s">
        <v>17</v>
      </c>
      <c r="C33" s="199">
        <v>11.45</v>
      </c>
      <c r="D33" s="200" t="s">
        <v>1280</v>
      </c>
      <c r="E33" s="137"/>
      <c r="G33" s="42"/>
      <c r="H33" s="42"/>
      <c r="I33" s="42"/>
      <c r="J33" s="42"/>
      <c r="K33" s="42"/>
      <c r="L33" s="42"/>
      <c r="M33" s="42"/>
    </row>
    <row r="34">
      <c r="A34" s="197">
        <v>45840.0</v>
      </c>
      <c r="B34" s="198" t="s">
        <v>17</v>
      </c>
      <c r="C34" s="199">
        <v>9.89</v>
      </c>
      <c r="D34" s="198" t="s">
        <v>1290</v>
      </c>
      <c r="E34" s="137"/>
      <c r="G34" s="42"/>
      <c r="H34" s="42"/>
      <c r="I34" s="42"/>
      <c r="J34" s="42"/>
      <c r="K34" s="42"/>
      <c r="L34" s="42"/>
      <c r="M34" s="42"/>
    </row>
    <row r="35">
      <c r="A35" s="197">
        <v>45840.0</v>
      </c>
      <c r="B35" s="198" t="s">
        <v>15</v>
      </c>
      <c r="C35" s="199">
        <v>23.52</v>
      </c>
      <c r="D35" s="200" t="s">
        <v>1318</v>
      </c>
      <c r="E35" s="137"/>
      <c r="G35" s="42"/>
      <c r="H35" s="42"/>
      <c r="I35" s="42"/>
      <c r="J35" s="42"/>
      <c r="K35" s="42"/>
      <c r="L35" s="42"/>
      <c r="M35" s="42"/>
    </row>
    <row r="36">
      <c r="A36" s="197">
        <v>45841.0</v>
      </c>
      <c r="B36" s="198" t="s">
        <v>17</v>
      </c>
      <c r="C36" s="199">
        <v>9.65</v>
      </c>
      <c r="D36" s="200" t="s">
        <v>1282</v>
      </c>
      <c r="E36" s="137"/>
      <c r="G36" s="42"/>
      <c r="H36" s="42"/>
      <c r="I36" s="42"/>
      <c r="J36" s="42"/>
      <c r="K36" s="42"/>
      <c r="L36" s="42"/>
      <c r="M36" s="42"/>
    </row>
    <row r="37">
      <c r="A37" s="197">
        <v>45841.0</v>
      </c>
      <c r="B37" s="198" t="s">
        <v>24</v>
      </c>
      <c r="C37" s="199">
        <v>47.99</v>
      </c>
      <c r="D37" s="200" t="s">
        <v>1319</v>
      </c>
      <c r="E37" s="137"/>
      <c r="G37" s="42"/>
      <c r="H37" s="42"/>
      <c r="I37" s="42"/>
      <c r="J37" s="42"/>
      <c r="K37" s="42"/>
      <c r="L37" s="42"/>
      <c r="M37" s="42"/>
    </row>
    <row r="38">
      <c r="A38" s="197">
        <v>45842.0</v>
      </c>
      <c r="B38" s="198" t="s">
        <v>22</v>
      </c>
      <c r="C38" s="199">
        <v>6.0</v>
      </c>
      <c r="D38" s="200" t="s">
        <v>1264</v>
      </c>
      <c r="E38" s="137"/>
      <c r="G38" s="42"/>
      <c r="H38" s="42"/>
      <c r="I38" s="42"/>
      <c r="J38" s="42"/>
      <c r="K38" s="42"/>
      <c r="L38" s="42"/>
      <c r="M38" s="42"/>
    </row>
    <row r="39">
      <c r="A39" s="197">
        <v>45842.0</v>
      </c>
      <c r="B39" s="198" t="s">
        <v>17</v>
      </c>
      <c r="C39" s="199">
        <v>4.73</v>
      </c>
      <c r="D39" s="200" t="s">
        <v>1320</v>
      </c>
      <c r="E39" s="137"/>
      <c r="G39" s="42"/>
      <c r="H39" s="42"/>
      <c r="I39" s="42"/>
      <c r="J39" s="42"/>
      <c r="K39" s="42"/>
      <c r="L39" s="42"/>
      <c r="M39" s="42"/>
    </row>
    <row r="40">
      <c r="A40" s="197">
        <v>45844.0</v>
      </c>
      <c r="B40" s="198" t="s">
        <v>15</v>
      </c>
      <c r="C40" s="199">
        <v>64.99</v>
      </c>
      <c r="D40" s="200" t="s">
        <v>814</v>
      </c>
      <c r="E40" s="164"/>
      <c r="G40" s="42"/>
      <c r="H40" s="42"/>
      <c r="I40" s="42"/>
      <c r="J40" s="42"/>
      <c r="K40" s="42"/>
      <c r="L40" s="42"/>
      <c r="M40" s="42"/>
    </row>
    <row r="41">
      <c r="A41" s="197">
        <v>45844.0</v>
      </c>
      <c r="B41" s="198" t="s">
        <v>17</v>
      </c>
      <c r="C41" s="199">
        <v>23.09</v>
      </c>
      <c r="D41" s="200" t="s">
        <v>1321</v>
      </c>
      <c r="E41" s="137"/>
      <c r="G41" s="42"/>
      <c r="H41" s="42"/>
      <c r="I41" s="42"/>
      <c r="J41" s="42"/>
      <c r="K41" s="42"/>
      <c r="L41" s="42"/>
      <c r="M41" s="42"/>
    </row>
    <row r="42">
      <c r="A42" s="197">
        <v>45844.0</v>
      </c>
      <c r="B42" s="198" t="s">
        <v>17</v>
      </c>
      <c r="C42" s="199">
        <v>2.59</v>
      </c>
      <c r="D42" s="200" t="s">
        <v>1322</v>
      </c>
      <c r="E42" s="137"/>
      <c r="G42" s="42"/>
      <c r="H42" s="42"/>
      <c r="I42" s="42"/>
      <c r="J42" s="42"/>
      <c r="K42" s="42"/>
      <c r="L42" s="42"/>
      <c r="M42" s="42"/>
    </row>
    <row r="43">
      <c r="A43" s="197">
        <v>45844.0</v>
      </c>
      <c r="B43" s="198" t="s">
        <v>19</v>
      </c>
      <c r="C43" s="199">
        <v>25.0</v>
      </c>
      <c r="D43" s="200" t="s">
        <v>1323</v>
      </c>
      <c r="E43" s="137"/>
      <c r="G43" s="42"/>
      <c r="H43" s="42"/>
      <c r="I43" s="42"/>
      <c r="J43" s="42"/>
      <c r="K43" s="42"/>
      <c r="L43" s="42"/>
      <c r="M43" s="42"/>
    </row>
    <row r="44">
      <c r="A44" s="197">
        <v>45845.0</v>
      </c>
      <c r="B44" s="198" t="s">
        <v>15</v>
      </c>
      <c r="C44" s="199">
        <v>14.82</v>
      </c>
      <c r="D44" s="200" t="s">
        <v>1271</v>
      </c>
      <c r="E44" s="137"/>
      <c r="G44" s="42"/>
      <c r="H44" s="42"/>
      <c r="I44" s="42"/>
      <c r="J44" s="42"/>
      <c r="K44" s="42"/>
      <c r="L44" s="42"/>
      <c r="M44" s="42"/>
    </row>
    <row r="45">
      <c r="A45" s="197">
        <v>45845.0</v>
      </c>
      <c r="B45" s="198" t="s">
        <v>15</v>
      </c>
      <c r="C45" s="199">
        <v>-13.77</v>
      </c>
      <c r="D45" s="200" t="s">
        <v>1271</v>
      </c>
      <c r="E45" s="137"/>
      <c r="G45" s="42"/>
      <c r="H45" s="42"/>
      <c r="I45" s="42"/>
      <c r="J45" s="42"/>
      <c r="K45" s="42"/>
      <c r="L45" s="42"/>
      <c r="M45" s="42"/>
    </row>
    <row r="46">
      <c r="A46" s="206">
        <v>45845.0</v>
      </c>
      <c r="B46" s="198" t="s">
        <v>25</v>
      </c>
      <c r="C46" s="199">
        <v>15.0</v>
      </c>
      <c r="D46" s="200" t="s">
        <v>1324</v>
      </c>
      <c r="E46" s="107"/>
      <c r="G46" s="42"/>
      <c r="H46" s="42"/>
      <c r="I46" s="42"/>
      <c r="J46" s="42"/>
      <c r="K46" s="42"/>
      <c r="L46" s="42"/>
      <c r="M46" s="42"/>
    </row>
    <row r="47">
      <c r="A47" s="197">
        <v>45847.0</v>
      </c>
      <c r="B47" s="198" t="s">
        <v>17</v>
      </c>
      <c r="C47" s="199">
        <v>9.65</v>
      </c>
      <c r="D47" s="200" t="s">
        <v>1282</v>
      </c>
      <c r="E47" s="107"/>
      <c r="G47" s="42"/>
      <c r="H47" s="42"/>
      <c r="I47" s="42"/>
      <c r="J47" s="42"/>
      <c r="K47" s="42"/>
      <c r="L47" s="42"/>
      <c r="M47" s="42"/>
    </row>
    <row r="48">
      <c r="A48" s="207">
        <v>45847.0</v>
      </c>
      <c r="B48" s="198" t="s">
        <v>25</v>
      </c>
      <c r="C48" s="208">
        <v>85.8</v>
      </c>
      <c r="D48" s="198" t="s">
        <v>1325</v>
      </c>
      <c r="E48" s="107"/>
      <c r="G48" s="42"/>
      <c r="H48" s="42"/>
      <c r="I48" s="42"/>
      <c r="J48" s="42"/>
      <c r="K48" s="42"/>
      <c r="L48" s="42"/>
      <c r="M48" s="42"/>
    </row>
    <row r="49">
      <c r="A49" s="207">
        <v>45847.0</v>
      </c>
      <c r="B49" s="198" t="s">
        <v>24</v>
      </c>
      <c r="C49" s="208">
        <v>70.37</v>
      </c>
      <c r="D49" s="198" t="s">
        <v>1326</v>
      </c>
      <c r="E49" s="107"/>
      <c r="G49" s="42"/>
      <c r="H49" s="42"/>
      <c r="I49" s="42"/>
      <c r="J49" s="42"/>
      <c r="K49" s="42"/>
      <c r="L49" s="42"/>
      <c r="M49" s="42"/>
    </row>
    <row r="50">
      <c r="A50" s="197">
        <v>45848.0</v>
      </c>
      <c r="B50" s="198" t="s">
        <v>25</v>
      </c>
      <c r="C50" s="199">
        <v>233.22</v>
      </c>
      <c r="D50" s="200" t="s">
        <v>1327</v>
      </c>
      <c r="E50" s="107"/>
      <c r="G50" s="42"/>
      <c r="H50" s="42"/>
      <c r="I50" s="42"/>
      <c r="J50" s="42"/>
      <c r="K50" s="42"/>
      <c r="L50" s="42"/>
      <c r="M50" s="42"/>
    </row>
    <row r="51">
      <c r="A51" s="207">
        <v>45848.0</v>
      </c>
      <c r="B51" s="198" t="s">
        <v>25</v>
      </c>
      <c r="C51" s="208">
        <v>67.04</v>
      </c>
      <c r="D51" s="198" t="s">
        <v>1328</v>
      </c>
      <c r="E51" s="107"/>
      <c r="G51" s="42"/>
      <c r="H51" s="42"/>
      <c r="I51" s="42"/>
      <c r="J51" s="42"/>
      <c r="K51" s="42"/>
      <c r="L51" s="42"/>
      <c r="M51" s="42"/>
    </row>
    <row r="52">
      <c r="A52" s="197">
        <v>45849.0</v>
      </c>
      <c r="B52" s="198" t="s">
        <v>17</v>
      </c>
      <c r="C52" s="199">
        <v>9.65</v>
      </c>
      <c r="D52" s="200" t="s">
        <v>1282</v>
      </c>
      <c r="E52" s="107"/>
      <c r="G52" s="42"/>
      <c r="H52" s="42"/>
      <c r="I52" s="42"/>
      <c r="J52" s="42"/>
      <c r="K52" s="42"/>
      <c r="L52" s="42"/>
      <c r="M52" s="42"/>
    </row>
    <row r="53">
      <c r="A53" s="197">
        <v>45849.0</v>
      </c>
      <c r="B53" s="198" t="s">
        <v>17</v>
      </c>
      <c r="C53" s="199">
        <v>404.4</v>
      </c>
      <c r="D53" s="200" t="s">
        <v>1329</v>
      </c>
      <c r="E53" s="107"/>
      <c r="G53" s="42"/>
      <c r="H53" s="42"/>
      <c r="I53" s="42"/>
      <c r="J53" s="42"/>
      <c r="K53" s="42"/>
      <c r="L53" s="42"/>
      <c r="M53" s="42"/>
    </row>
    <row r="54">
      <c r="A54" s="207">
        <v>45851.0</v>
      </c>
      <c r="B54" s="198" t="s">
        <v>17</v>
      </c>
      <c r="C54" s="208">
        <v>1.99</v>
      </c>
      <c r="D54" s="198" t="s">
        <v>1330</v>
      </c>
      <c r="E54" s="107"/>
      <c r="G54" s="42"/>
      <c r="H54" s="42"/>
      <c r="I54" s="42"/>
      <c r="J54" s="42"/>
      <c r="K54" s="42"/>
      <c r="L54" s="42"/>
      <c r="M54" s="42"/>
    </row>
    <row r="55">
      <c r="A55" s="207">
        <v>45852.0</v>
      </c>
      <c r="B55" s="198" t="s">
        <v>17</v>
      </c>
      <c r="C55" s="208">
        <v>25.08</v>
      </c>
      <c r="D55" s="198" t="s">
        <v>1331</v>
      </c>
      <c r="E55" s="107"/>
      <c r="G55" s="42"/>
      <c r="H55" s="42"/>
      <c r="I55" s="42"/>
      <c r="J55" s="42"/>
      <c r="K55" s="42"/>
      <c r="L55" s="42"/>
      <c r="M55" s="42"/>
    </row>
    <row r="56">
      <c r="A56" s="197">
        <v>45852.0</v>
      </c>
      <c r="B56" s="198" t="s">
        <v>17</v>
      </c>
      <c r="C56" s="199">
        <v>25.44</v>
      </c>
      <c r="D56" s="200" t="s">
        <v>1332</v>
      </c>
      <c r="E56" s="107"/>
      <c r="G56" s="42"/>
      <c r="H56" s="42"/>
      <c r="I56" s="42"/>
      <c r="J56" s="42"/>
      <c r="K56" s="42"/>
      <c r="L56" s="42"/>
      <c r="M56" s="42"/>
    </row>
    <row r="57">
      <c r="A57" s="197">
        <v>45854.0</v>
      </c>
      <c r="B57" s="198" t="s">
        <v>17</v>
      </c>
      <c r="C57" s="199">
        <v>9.39</v>
      </c>
      <c r="D57" s="200" t="s">
        <v>1290</v>
      </c>
      <c r="E57" s="107"/>
      <c r="G57" s="42"/>
      <c r="H57" s="42"/>
      <c r="I57" s="42"/>
      <c r="J57" s="42"/>
      <c r="K57" s="42"/>
      <c r="L57" s="42"/>
      <c r="M57" s="42"/>
    </row>
    <row r="58">
      <c r="A58" s="197">
        <v>45854.0</v>
      </c>
      <c r="B58" s="198" t="s">
        <v>17</v>
      </c>
      <c r="C58" s="199">
        <v>12.23</v>
      </c>
      <c r="D58" s="200" t="s">
        <v>1290</v>
      </c>
      <c r="E58" s="107"/>
      <c r="G58" s="42"/>
      <c r="H58" s="42"/>
      <c r="I58" s="42"/>
      <c r="J58" s="42"/>
      <c r="K58" s="42"/>
      <c r="L58" s="42"/>
      <c r="M58" s="42"/>
    </row>
    <row r="59">
      <c r="A59" s="197">
        <v>45855.0</v>
      </c>
      <c r="B59" s="198" t="s">
        <v>17</v>
      </c>
      <c r="C59" s="199">
        <v>9.65</v>
      </c>
      <c r="D59" s="200" t="s">
        <v>1282</v>
      </c>
      <c r="E59" s="107"/>
      <c r="G59" s="42"/>
      <c r="H59" s="42"/>
      <c r="I59" s="42"/>
      <c r="J59" s="42"/>
      <c r="K59" s="42"/>
      <c r="L59" s="42"/>
      <c r="M59" s="42"/>
    </row>
    <row r="60">
      <c r="A60" s="197">
        <v>45856.0</v>
      </c>
      <c r="B60" s="198" t="s">
        <v>17</v>
      </c>
      <c r="C60" s="199">
        <v>9.65</v>
      </c>
      <c r="D60" s="198" t="s">
        <v>1282</v>
      </c>
      <c r="E60" s="107"/>
      <c r="G60" s="42"/>
      <c r="H60" s="42"/>
      <c r="I60" s="42"/>
      <c r="J60" s="42"/>
      <c r="K60" s="42"/>
      <c r="L60" s="42"/>
      <c r="M60" s="42"/>
    </row>
    <row r="61">
      <c r="A61" s="197">
        <v>45849.0</v>
      </c>
      <c r="B61" s="198" t="s">
        <v>17</v>
      </c>
      <c r="C61" s="199">
        <v>85.0</v>
      </c>
      <c r="D61" s="209" t="s">
        <v>1333</v>
      </c>
      <c r="E61" s="107"/>
      <c r="G61" s="42"/>
      <c r="H61" s="42"/>
      <c r="I61" s="42"/>
      <c r="J61" s="42"/>
      <c r="K61" s="42"/>
      <c r="L61" s="42"/>
      <c r="M61" s="42"/>
    </row>
    <row r="62">
      <c r="A62" s="197"/>
      <c r="B62" s="198" t="s">
        <v>19</v>
      </c>
      <c r="C62" s="199">
        <v>34.0</v>
      </c>
      <c r="D62" s="200" t="s">
        <v>1334</v>
      </c>
      <c r="E62" s="107"/>
      <c r="G62" s="42"/>
      <c r="H62" s="42"/>
      <c r="I62" s="42"/>
      <c r="J62" s="42"/>
      <c r="K62" s="42"/>
      <c r="L62" s="42"/>
      <c r="M62" s="42"/>
    </row>
    <row r="63">
      <c r="A63" s="197"/>
      <c r="B63" s="198" t="s">
        <v>17</v>
      </c>
      <c r="C63" s="199">
        <v>16.23</v>
      </c>
      <c r="D63" s="200" t="s">
        <v>1335</v>
      </c>
      <c r="E63" s="107"/>
      <c r="G63" s="42"/>
      <c r="H63" s="42"/>
      <c r="I63" s="42"/>
      <c r="J63" s="42"/>
      <c r="K63" s="42"/>
      <c r="L63" s="42"/>
      <c r="M63" s="42"/>
    </row>
    <row r="64">
      <c r="A64" s="197"/>
      <c r="B64" s="198" t="s">
        <v>17</v>
      </c>
      <c r="C64" s="199">
        <v>103.0</v>
      </c>
      <c r="D64" s="200" t="s">
        <v>1336</v>
      </c>
      <c r="E64" s="107"/>
      <c r="G64" s="42"/>
      <c r="H64" s="42"/>
      <c r="I64" s="42"/>
      <c r="J64" s="42"/>
      <c r="K64" s="42"/>
      <c r="L64" s="42"/>
      <c r="M64" s="42"/>
    </row>
    <row r="65">
      <c r="A65" s="197">
        <v>45839.0</v>
      </c>
      <c r="B65" s="198" t="s">
        <v>19</v>
      </c>
      <c r="C65" s="199">
        <v>-5.34</v>
      </c>
      <c r="D65" s="201" t="s">
        <v>931</v>
      </c>
      <c r="E65" s="107"/>
      <c r="G65" s="42"/>
      <c r="H65" s="42"/>
      <c r="I65" s="42"/>
      <c r="J65" s="42"/>
      <c r="K65" s="42"/>
      <c r="L65" s="42"/>
      <c r="M65" s="42"/>
    </row>
    <row r="66">
      <c r="A66" s="197">
        <v>45844.0</v>
      </c>
      <c r="B66" s="198" t="s">
        <v>15</v>
      </c>
      <c r="C66" s="199">
        <v>27.54</v>
      </c>
      <c r="D66" s="200" t="s">
        <v>1337</v>
      </c>
      <c r="E66" s="107"/>
      <c r="G66" s="42"/>
      <c r="H66" s="42"/>
      <c r="I66" s="42"/>
      <c r="J66" s="42"/>
      <c r="K66" s="42"/>
      <c r="L66" s="42"/>
      <c r="M66" s="42"/>
    </row>
    <row r="67" ht="18.75" customHeight="1">
      <c r="A67" s="197">
        <v>45847.0</v>
      </c>
      <c r="B67" s="198" t="s">
        <v>19</v>
      </c>
      <c r="C67" s="199">
        <v>5.81</v>
      </c>
      <c r="D67" s="200" t="s">
        <v>1338</v>
      </c>
      <c r="E67" s="107"/>
      <c r="G67" s="42"/>
      <c r="H67" s="42"/>
      <c r="I67" s="42"/>
      <c r="J67" s="42"/>
      <c r="K67" s="42"/>
      <c r="L67" s="42"/>
      <c r="M67" s="42"/>
    </row>
    <row r="68">
      <c r="A68" s="197">
        <v>45849.0</v>
      </c>
      <c r="B68" s="198" t="s">
        <v>19</v>
      </c>
      <c r="C68" s="199">
        <v>0.01</v>
      </c>
      <c r="D68" s="200" t="s">
        <v>1339</v>
      </c>
      <c r="E68" s="107"/>
      <c r="G68" s="42"/>
      <c r="H68" s="42"/>
      <c r="I68" s="42"/>
      <c r="J68" s="42"/>
      <c r="K68" s="42"/>
      <c r="L68" s="42"/>
      <c r="M68" s="42"/>
    </row>
    <row r="69">
      <c r="A69" s="197">
        <v>45851.0</v>
      </c>
      <c r="B69" s="198" t="s">
        <v>19</v>
      </c>
      <c r="C69" s="199">
        <v>13.4</v>
      </c>
      <c r="D69" s="200" t="s">
        <v>1340</v>
      </c>
      <c r="E69" s="107"/>
      <c r="G69" s="42"/>
      <c r="H69" s="42"/>
      <c r="I69" s="42"/>
      <c r="J69" s="42"/>
      <c r="K69" s="42"/>
      <c r="L69" s="42"/>
      <c r="M69" s="42"/>
    </row>
    <row r="70">
      <c r="A70" s="197">
        <v>45852.0</v>
      </c>
      <c r="B70" s="198" t="s">
        <v>19</v>
      </c>
      <c r="C70" s="199">
        <v>-13.12</v>
      </c>
      <c r="D70" s="201" t="s">
        <v>931</v>
      </c>
      <c r="E70" s="107"/>
      <c r="G70" s="42"/>
      <c r="H70" s="42"/>
      <c r="I70" s="42"/>
      <c r="J70" s="42"/>
      <c r="K70" s="42"/>
      <c r="L70" s="42"/>
      <c r="M70" s="42"/>
    </row>
    <row r="71">
      <c r="A71" s="197">
        <v>45852.0</v>
      </c>
      <c r="B71" s="198" t="s">
        <v>15</v>
      </c>
      <c r="C71" s="199">
        <v>66.41</v>
      </c>
      <c r="D71" s="200" t="s">
        <v>1341</v>
      </c>
      <c r="E71" s="107"/>
      <c r="G71" s="42"/>
      <c r="H71" s="42"/>
      <c r="I71" s="42"/>
      <c r="J71" s="42"/>
      <c r="K71" s="42"/>
      <c r="L71" s="42"/>
      <c r="M71" s="42"/>
    </row>
    <row r="72">
      <c r="A72" s="197">
        <v>45853.0</v>
      </c>
      <c r="B72" s="198" t="s">
        <v>19</v>
      </c>
      <c r="C72" s="199">
        <v>401.74</v>
      </c>
      <c r="D72" s="200" t="s">
        <v>1342</v>
      </c>
      <c r="E72" s="107"/>
      <c r="G72" s="42"/>
      <c r="H72" s="42"/>
      <c r="I72" s="42"/>
      <c r="J72" s="42"/>
      <c r="K72" s="42"/>
      <c r="L72" s="42"/>
      <c r="M72" s="42"/>
    </row>
    <row r="73">
      <c r="A73" s="197">
        <v>45853.0</v>
      </c>
      <c r="B73" s="198" t="s">
        <v>19</v>
      </c>
      <c r="C73" s="199">
        <v>31.75</v>
      </c>
      <c r="D73" s="200" t="s">
        <v>1343</v>
      </c>
      <c r="E73" s="107"/>
      <c r="G73" s="42"/>
      <c r="H73" s="42"/>
      <c r="I73" s="42"/>
      <c r="J73" s="42"/>
      <c r="K73" s="42"/>
      <c r="L73" s="42"/>
      <c r="M73" s="42"/>
    </row>
    <row r="74">
      <c r="A74" s="197">
        <v>45856.0</v>
      </c>
      <c r="B74" s="198" t="s">
        <v>19</v>
      </c>
      <c r="C74" s="199">
        <v>-7.06</v>
      </c>
      <c r="D74" s="201" t="s">
        <v>931</v>
      </c>
      <c r="E74" s="107"/>
      <c r="G74" s="42"/>
      <c r="H74" s="42"/>
      <c r="I74" s="42"/>
      <c r="J74" s="42"/>
      <c r="K74" s="42"/>
      <c r="L74" s="42"/>
      <c r="M74" s="42"/>
    </row>
    <row r="75">
      <c r="A75" s="197"/>
      <c r="B75" s="198" t="s">
        <v>1344</v>
      </c>
      <c r="C75" s="199">
        <v>67.0</v>
      </c>
      <c r="D75" s="200" t="s">
        <v>1345</v>
      </c>
      <c r="E75" s="107"/>
      <c r="G75" s="42"/>
      <c r="H75" s="42"/>
      <c r="I75" s="42"/>
      <c r="J75" s="42"/>
      <c r="K75" s="42"/>
      <c r="L75" s="42"/>
      <c r="M75" s="42"/>
    </row>
    <row r="76">
      <c r="A76" s="197"/>
      <c r="B76" s="198" t="s">
        <v>19</v>
      </c>
      <c r="C76" s="199">
        <v>33.0</v>
      </c>
      <c r="D76" s="200" t="s">
        <v>1346</v>
      </c>
      <c r="E76" s="107"/>
      <c r="G76" s="42"/>
      <c r="H76" s="42"/>
      <c r="I76" s="42"/>
      <c r="J76" s="42"/>
      <c r="K76" s="42"/>
      <c r="L76" s="42"/>
      <c r="M76" s="42"/>
    </row>
    <row r="77">
      <c r="A77" s="197"/>
      <c r="B77" s="198"/>
      <c r="C77" s="199"/>
      <c r="D77" s="200"/>
      <c r="E77" s="107"/>
      <c r="G77" s="42"/>
      <c r="H77" s="42"/>
      <c r="I77" s="42"/>
      <c r="J77" s="42"/>
      <c r="K77" s="42"/>
      <c r="L77" s="42"/>
      <c r="M77" s="42"/>
    </row>
    <row r="78">
      <c r="A78" s="197"/>
      <c r="B78" s="198"/>
      <c r="C78" s="199"/>
      <c r="D78" s="200"/>
      <c r="E78" s="107"/>
      <c r="G78" s="42"/>
      <c r="H78" s="42"/>
      <c r="I78" s="42"/>
      <c r="J78" s="42"/>
      <c r="K78" s="42"/>
      <c r="L78" s="42"/>
      <c r="M78" s="42"/>
    </row>
    <row r="79">
      <c r="A79" s="197"/>
      <c r="B79" s="198"/>
      <c r="C79" s="199"/>
      <c r="D79" s="200"/>
      <c r="E79" s="107"/>
      <c r="G79" s="42"/>
      <c r="H79" s="42"/>
      <c r="I79" s="42"/>
      <c r="J79" s="42"/>
      <c r="K79" s="42"/>
      <c r="L79" s="42"/>
      <c r="M79" s="42"/>
    </row>
    <row r="80">
      <c r="A80" s="197"/>
      <c r="B80" s="198"/>
      <c r="C80" s="199"/>
      <c r="D80" s="200"/>
      <c r="E80" s="107"/>
      <c r="G80" s="42"/>
      <c r="H80" s="42"/>
      <c r="I80" s="42"/>
      <c r="J80" s="42"/>
      <c r="K80" s="42"/>
      <c r="L80" s="42"/>
      <c r="M80" s="42"/>
    </row>
    <row r="81">
      <c r="A81" s="197"/>
      <c r="B81" s="198"/>
      <c r="C81" s="199"/>
      <c r="D81" s="200"/>
      <c r="E81" s="107"/>
      <c r="G81" s="42"/>
      <c r="H81" s="42"/>
      <c r="I81" s="42"/>
      <c r="J81" s="42"/>
      <c r="K81" s="42"/>
      <c r="L81" s="42"/>
      <c r="M81" s="42"/>
    </row>
    <row r="82">
      <c r="A82" s="197"/>
      <c r="B82" s="198"/>
      <c r="C82" s="199"/>
      <c r="D82" s="200"/>
      <c r="E82" s="107"/>
      <c r="G82" s="42"/>
      <c r="H82" s="42"/>
      <c r="I82" s="42"/>
      <c r="J82" s="42"/>
      <c r="K82" s="42"/>
      <c r="L82" s="42"/>
      <c r="M82" s="42"/>
    </row>
    <row r="83">
      <c r="A83" s="197"/>
      <c r="B83" s="198"/>
      <c r="C83" s="199"/>
      <c r="D83" s="200"/>
      <c r="E83" s="107"/>
      <c r="G83" s="42"/>
      <c r="H83" s="42"/>
      <c r="I83" s="42"/>
      <c r="J83" s="42"/>
      <c r="K83" s="42"/>
      <c r="L83" s="42"/>
      <c r="M83" s="42"/>
    </row>
    <row r="84">
      <c r="A84" s="197"/>
      <c r="B84" s="198"/>
      <c r="C84" s="199"/>
      <c r="D84" s="200"/>
      <c r="E84" s="107"/>
      <c r="G84" s="42"/>
      <c r="H84" s="42"/>
      <c r="I84" s="42"/>
      <c r="J84" s="42"/>
      <c r="K84" s="42"/>
      <c r="L84" s="42"/>
      <c r="M84" s="42"/>
    </row>
    <row r="85">
      <c r="A85" s="197"/>
      <c r="B85" s="198"/>
      <c r="C85" s="199"/>
      <c r="D85" s="200"/>
      <c r="E85" s="107"/>
      <c r="G85" s="42"/>
      <c r="H85" s="42"/>
      <c r="I85" s="42"/>
      <c r="J85" s="42"/>
      <c r="K85" s="42"/>
      <c r="L85" s="42"/>
      <c r="M85" s="42"/>
    </row>
    <row r="86">
      <c r="A86" s="212"/>
      <c r="B86" s="184"/>
      <c r="C86" s="199"/>
      <c r="D86" s="200"/>
      <c r="E86" s="107"/>
      <c r="G86" s="42"/>
      <c r="H86" s="42"/>
      <c r="I86" s="42"/>
      <c r="J86" s="42"/>
      <c r="K86" s="42"/>
      <c r="L86" s="42"/>
      <c r="M86" s="42"/>
    </row>
    <row r="87">
      <c r="A87" s="215"/>
      <c r="B87" s="184"/>
      <c r="C87" s="208"/>
      <c r="D87" s="198"/>
      <c r="E87" s="132"/>
      <c r="G87" s="42"/>
      <c r="H87" s="42"/>
      <c r="I87" s="42"/>
      <c r="J87" s="42"/>
      <c r="K87" s="42"/>
      <c r="L87" s="42"/>
      <c r="M87" s="42"/>
    </row>
    <row r="88">
      <c r="A88" s="203"/>
      <c r="B88" s="203"/>
      <c r="C88" s="203"/>
      <c r="D88" s="203"/>
      <c r="E88" s="107"/>
      <c r="G88" s="42"/>
      <c r="H88" s="42"/>
      <c r="I88" s="42"/>
      <c r="J88" s="42"/>
      <c r="K88" s="42"/>
      <c r="L88" s="42"/>
      <c r="M88" s="42"/>
    </row>
    <row r="89">
      <c r="A89" s="203"/>
      <c r="B89" s="203"/>
      <c r="C89" s="203"/>
      <c r="D89" s="203"/>
      <c r="E89" s="107"/>
      <c r="G89" s="42"/>
      <c r="H89" s="42"/>
      <c r="I89" s="42"/>
      <c r="J89" s="42"/>
      <c r="K89" s="42"/>
      <c r="L89" s="42"/>
      <c r="M89" s="42"/>
    </row>
    <row r="90">
      <c r="A90" s="203"/>
      <c r="B90" s="203"/>
      <c r="C90" s="203"/>
      <c r="D90" s="203"/>
      <c r="E90" s="132"/>
      <c r="G90" s="42"/>
      <c r="H90" s="42"/>
      <c r="I90" s="42"/>
      <c r="J90" s="42"/>
      <c r="K90" s="42"/>
      <c r="L90" s="42"/>
      <c r="M90" s="42"/>
    </row>
    <row r="91">
      <c r="A91" s="203"/>
      <c r="B91" s="203"/>
      <c r="C91" s="203"/>
      <c r="D91" s="203"/>
      <c r="E91" s="107">
        <v>-1.1</v>
      </c>
      <c r="G91" s="42"/>
      <c r="H91" s="42"/>
      <c r="I91" s="42"/>
      <c r="J91" s="42"/>
      <c r="K91" s="42"/>
      <c r="L91" s="42"/>
      <c r="M91" s="42"/>
    </row>
    <row r="92">
      <c r="A92" s="203"/>
      <c r="B92" s="203"/>
      <c r="C92" s="203"/>
      <c r="D92" s="203"/>
      <c r="E92" s="107">
        <v>-30.0</v>
      </c>
      <c r="G92" s="42"/>
      <c r="H92" s="42"/>
      <c r="I92" s="42"/>
      <c r="J92" s="42"/>
      <c r="K92" s="42"/>
      <c r="L92" s="42"/>
      <c r="M92" s="42"/>
    </row>
    <row r="93">
      <c r="A93" s="181"/>
      <c r="B93" s="178"/>
      <c r="C93" s="182"/>
      <c r="D93" s="183"/>
      <c r="E93" s="107">
        <v>-10.69</v>
      </c>
      <c r="G93" s="42"/>
      <c r="H93" s="42"/>
      <c r="I93" s="42"/>
      <c r="J93" s="42"/>
      <c r="K93" s="42"/>
      <c r="L93" s="42"/>
      <c r="M93" s="42"/>
    </row>
    <row r="94">
      <c r="A94" s="177"/>
      <c r="B94" s="184"/>
      <c r="C94" s="180"/>
      <c r="D94" s="180"/>
      <c r="E94" s="107">
        <v>-81.99</v>
      </c>
      <c r="G94" s="99"/>
      <c r="H94" s="42"/>
      <c r="I94" s="42"/>
      <c r="J94" s="42"/>
      <c r="K94" s="42"/>
      <c r="L94" s="42"/>
      <c r="M94" s="42"/>
    </row>
    <row r="95">
      <c r="A95" s="181"/>
      <c r="B95" s="178"/>
      <c r="C95" s="182"/>
      <c r="D95" s="183"/>
      <c r="E95" s="107">
        <v>-91.44</v>
      </c>
      <c r="G95" s="42"/>
      <c r="H95" s="42"/>
      <c r="I95" s="42"/>
      <c r="J95" s="42"/>
      <c r="K95" s="42"/>
      <c r="L95" s="42"/>
      <c r="M95" s="42"/>
    </row>
    <row r="96">
      <c r="A96" s="181"/>
      <c r="B96" s="178"/>
      <c r="C96" s="182"/>
      <c r="D96" s="183"/>
      <c r="E96" s="107">
        <v>-79.99</v>
      </c>
      <c r="G96" s="42"/>
      <c r="H96" s="42"/>
      <c r="I96" s="42"/>
      <c r="J96" s="42"/>
      <c r="K96" s="42"/>
      <c r="L96" s="42"/>
      <c r="M96" s="42"/>
    </row>
    <row r="97">
      <c r="A97" s="203"/>
      <c r="B97" s="203"/>
      <c r="C97" s="203"/>
      <c r="D97" s="203"/>
      <c r="E97" s="107">
        <v>-120.75</v>
      </c>
      <c r="G97" s="42"/>
      <c r="H97" s="42"/>
      <c r="I97" s="42"/>
      <c r="J97" s="42"/>
      <c r="K97" s="42"/>
      <c r="L97" s="42"/>
      <c r="M97" s="42"/>
    </row>
    <row r="98">
      <c r="A98" s="203"/>
      <c r="B98" s="203"/>
      <c r="C98" s="203"/>
      <c r="D98" s="203"/>
      <c r="E98" s="107">
        <v>-1.75</v>
      </c>
      <c r="G98" s="42"/>
      <c r="H98" s="42"/>
      <c r="I98" s="42"/>
      <c r="J98" s="42"/>
      <c r="K98" s="42"/>
      <c r="L98" s="42"/>
      <c r="M98" s="42"/>
    </row>
    <row r="99">
      <c r="A99" s="203"/>
      <c r="B99" s="203"/>
      <c r="C99" s="203"/>
      <c r="D99" s="203"/>
      <c r="E99" s="107">
        <v>-1.25</v>
      </c>
      <c r="G99" s="42"/>
      <c r="H99" s="42"/>
      <c r="I99" s="42"/>
      <c r="J99" s="42"/>
      <c r="K99" s="42"/>
      <c r="L99" s="42"/>
      <c r="M99" s="42"/>
    </row>
    <row r="100">
      <c r="A100" s="203"/>
      <c r="B100" s="203"/>
      <c r="C100" s="203"/>
      <c r="D100" s="203"/>
      <c r="E100" s="107">
        <v>-1.25</v>
      </c>
      <c r="G100" s="42"/>
      <c r="H100" s="42"/>
      <c r="I100" s="42"/>
      <c r="J100" s="42"/>
      <c r="K100" s="42"/>
      <c r="L100" s="42"/>
      <c r="M100" s="42"/>
    </row>
    <row r="101">
      <c r="A101" s="181"/>
      <c r="B101" s="178"/>
      <c r="C101" s="182"/>
      <c r="D101" s="183"/>
      <c r="E101" s="107">
        <v>-9.6</v>
      </c>
      <c r="G101" s="42"/>
      <c r="H101" s="42"/>
      <c r="I101" s="42"/>
      <c r="J101" s="42"/>
      <c r="K101" s="42"/>
      <c r="L101" s="42"/>
      <c r="M101" s="42"/>
    </row>
    <row r="102">
      <c r="A102" s="181"/>
      <c r="B102" s="178"/>
      <c r="C102" s="182"/>
      <c r="D102" s="183"/>
      <c r="E102" s="107">
        <v>-1.25</v>
      </c>
      <c r="G102" s="42"/>
      <c r="H102" s="42"/>
      <c r="I102" s="42"/>
      <c r="J102" s="42"/>
      <c r="K102" s="42"/>
      <c r="L102" s="42"/>
      <c r="M102" s="42"/>
    </row>
    <row r="103">
      <c r="A103" s="192"/>
      <c r="B103" s="184"/>
      <c r="C103" s="202"/>
      <c r="D103" s="193"/>
      <c r="E103" s="107">
        <v>-1.25</v>
      </c>
      <c r="G103" s="42"/>
      <c r="H103" s="42"/>
      <c r="I103" s="42"/>
      <c r="J103" s="42"/>
      <c r="K103" s="42"/>
      <c r="L103" s="42"/>
      <c r="M103" s="42"/>
    </row>
    <row r="104">
      <c r="A104" s="181"/>
      <c r="B104" s="178"/>
      <c r="C104" s="182"/>
      <c r="D104" s="183"/>
      <c r="E104" s="107">
        <v>-2.9</v>
      </c>
      <c r="G104" s="42"/>
      <c r="H104" s="42"/>
      <c r="I104" s="42"/>
      <c r="J104" s="42"/>
      <c r="K104" s="42"/>
      <c r="L104" s="42"/>
      <c r="M104" s="42"/>
    </row>
    <row r="105">
      <c r="A105" s="192"/>
      <c r="B105" s="184"/>
      <c r="C105" s="202"/>
      <c r="D105" s="193"/>
      <c r="E105" s="107">
        <v>-30.0</v>
      </c>
      <c r="G105" s="42"/>
      <c r="H105" s="42"/>
      <c r="I105" s="42"/>
      <c r="J105" s="42"/>
      <c r="K105" s="42"/>
      <c r="L105" s="42"/>
      <c r="M105" s="42"/>
    </row>
    <row r="106">
      <c r="A106" s="181"/>
      <c r="B106" s="178"/>
      <c r="C106" s="182"/>
      <c r="D106" s="183"/>
      <c r="E106" s="107">
        <v>-2.9</v>
      </c>
      <c r="G106" s="42"/>
      <c r="H106" s="42"/>
      <c r="I106" s="42"/>
      <c r="J106" s="42"/>
      <c r="K106" s="42"/>
      <c r="L106" s="42"/>
      <c r="M106" s="42"/>
    </row>
    <row r="107">
      <c r="A107" s="181"/>
      <c r="B107" s="178"/>
      <c r="C107" s="182"/>
      <c r="D107" s="183"/>
      <c r="E107" s="107">
        <v>-2.75</v>
      </c>
      <c r="G107" s="42"/>
      <c r="H107" s="42"/>
      <c r="I107" s="42"/>
      <c r="J107" s="42"/>
      <c r="K107" s="42"/>
      <c r="L107" s="42"/>
      <c r="M107" s="42"/>
    </row>
    <row r="108">
      <c r="A108" s="181"/>
      <c r="B108" s="178"/>
      <c r="C108" s="182"/>
      <c r="D108" s="183"/>
      <c r="E108" s="107">
        <v>-2.9</v>
      </c>
      <c r="G108" s="42"/>
      <c r="H108" s="42"/>
      <c r="I108" s="42"/>
      <c r="J108" s="42"/>
      <c r="K108" s="42"/>
      <c r="L108" s="42"/>
      <c r="M108" s="42"/>
    </row>
    <row r="109">
      <c r="A109" s="181"/>
      <c r="B109" s="178"/>
      <c r="C109" s="182"/>
      <c r="D109" s="183"/>
      <c r="E109" s="107">
        <v>-2.75</v>
      </c>
      <c r="G109" s="42"/>
      <c r="H109" s="42"/>
      <c r="I109" s="42"/>
      <c r="J109" s="42"/>
      <c r="K109" s="42"/>
      <c r="L109" s="42"/>
      <c r="M109" s="42"/>
    </row>
    <row r="110">
      <c r="A110" s="181"/>
      <c r="B110" s="178"/>
      <c r="C110" s="182"/>
      <c r="D110" s="183"/>
      <c r="E110" s="107">
        <v>-13.25</v>
      </c>
      <c r="G110" s="42"/>
      <c r="H110" s="42"/>
      <c r="I110" s="42"/>
      <c r="J110" s="42"/>
      <c r="K110" s="42"/>
      <c r="L110" s="42"/>
      <c r="M110" s="42"/>
    </row>
    <row r="111">
      <c r="A111" s="192"/>
      <c r="B111" s="184"/>
      <c r="C111" s="202"/>
      <c r="D111" s="193"/>
      <c r="E111" s="107">
        <v>-28.27</v>
      </c>
      <c r="G111" s="42"/>
      <c r="H111" s="42"/>
      <c r="I111" s="42"/>
      <c r="J111" s="42"/>
      <c r="K111" s="42"/>
      <c r="L111" s="42"/>
      <c r="M111" s="42"/>
    </row>
    <row r="112">
      <c r="A112" s="181"/>
      <c r="B112" s="178"/>
      <c r="C112" s="182"/>
      <c r="D112" s="183"/>
      <c r="E112" s="107">
        <v>-51.99</v>
      </c>
      <c r="G112" s="42"/>
      <c r="H112" s="42"/>
      <c r="I112" s="42"/>
      <c r="J112" s="42"/>
      <c r="K112" s="42"/>
      <c r="L112" s="42"/>
      <c r="M112" s="42"/>
    </row>
    <row r="113">
      <c r="A113" s="181"/>
      <c r="B113" s="178"/>
      <c r="C113" s="182"/>
      <c r="D113" s="183"/>
      <c r="E113" s="107">
        <v>-31.03</v>
      </c>
      <c r="G113" s="42"/>
      <c r="H113" s="42"/>
      <c r="I113" s="42"/>
      <c r="J113" s="42"/>
      <c r="K113" s="42"/>
      <c r="L113" s="42"/>
      <c r="M113" s="42"/>
    </row>
    <row r="114">
      <c r="A114" s="181"/>
      <c r="B114" s="178"/>
      <c r="C114" s="182"/>
      <c r="D114" s="183"/>
      <c r="E114" s="107">
        <v>-53.58</v>
      </c>
      <c r="G114" s="42"/>
      <c r="H114" s="42"/>
      <c r="I114" s="42"/>
      <c r="J114" s="42"/>
      <c r="K114" s="42"/>
      <c r="L114" s="42"/>
      <c r="M114" s="42"/>
    </row>
    <row r="115">
      <c r="A115" s="181"/>
      <c r="B115" s="178"/>
      <c r="C115" s="182"/>
      <c r="D115" s="183"/>
      <c r="E115" s="107">
        <v>-1.5</v>
      </c>
      <c r="G115" s="42"/>
      <c r="H115" s="42"/>
      <c r="I115" s="42"/>
      <c r="J115" s="42"/>
      <c r="K115" s="42"/>
      <c r="L115" s="42"/>
      <c r="M115" s="42"/>
    </row>
    <row r="116">
      <c r="A116" s="181"/>
      <c r="B116" s="178"/>
      <c r="C116" s="182"/>
      <c r="D116" s="183"/>
      <c r="E116" s="107">
        <v>-12.84</v>
      </c>
      <c r="G116" s="42"/>
      <c r="H116" s="42"/>
      <c r="I116" s="42"/>
      <c r="J116" s="42"/>
      <c r="K116" s="42"/>
      <c r="L116" s="42"/>
      <c r="M116" s="42"/>
    </row>
    <row r="117">
      <c r="A117" s="181"/>
      <c r="B117" s="178"/>
      <c r="C117" s="182"/>
      <c r="D117" s="183"/>
      <c r="E117" s="107">
        <v>-2.4</v>
      </c>
      <c r="G117" s="42"/>
      <c r="H117" s="42"/>
      <c r="I117" s="42"/>
      <c r="J117" s="42"/>
      <c r="K117" s="42"/>
      <c r="L117" s="42"/>
      <c r="M117" s="42"/>
    </row>
    <row r="118">
      <c r="A118" s="192"/>
      <c r="B118" s="184"/>
      <c r="C118" s="202"/>
      <c r="D118" s="193"/>
      <c r="E118" s="107">
        <v>-1.25</v>
      </c>
      <c r="G118" s="42"/>
      <c r="H118" s="42"/>
      <c r="I118" s="42"/>
      <c r="J118" s="42"/>
      <c r="K118" s="42"/>
      <c r="L118" s="42"/>
      <c r="M118" s="42"/>
    </row>
    <row r="119">
      <c r="A119" s="181"/>
      <c r="B119" s="178"/>
      <c r="C119" s="182"/>
      <c r="D119" s="183"/>
      <c r="E119" s="107">
        <v>-25.95</v>
      </c>
      <c r="G119" s="42"/>
      <c r="H119" s="42"/>
      <c r="I119" s="42"/>
      <c r="J119" s="42"/>
      <c r="K119" s="42"/>
      <c r="L119" s="42"/>
      <c r="M119" s="42"/>
    </row>
    <row r="120">
      <c r="A120" s="192"/>
      <c r="B120" s="184"/>
      <c r="C120" s="202"/>
      <c r="D120" s="193"/>
      <c r="E120" s="107">
        <v>-1.25</v>
      </c>
      <c r="G120" s="42"/>
      <c r="H120" s="42"/>
      <c r="I120" s="42"/>
      <c r="J120" s="42"/>
      <c r="K120" s="42"/>
      <c r="L120" s="42"/>
      <c r="M120" s="42"/>
    </row>
    <row r="121">
      <c r="A121" s="181"/>
      <c r="B121" s="178"/>
      <c r="C121" s="182"/>
      <c r="D121" s="183"/>
      <c r="E121" s="107">
        <v>-3.95</v>
      </c>
      <c r="G121" s="42"/>
      <c r="H121" s="42"/>
      <c r="I121" s="42"/>
      <c r="J121" s="42"/>
      <c r="K121" s="42"/>
      <c r="L121" s="42"/>
      <c r="M121" s="42"/>
    </row>
    <row r="122">
      <c r="A122" s="192"/>
      <c r="B122" s="184"/>
      <c r="C122" s="202"/>
      <c r="D122" s="193"/>
      <c r="E122" s="107">
        <v>-1.25</v>
      </c>
      <c r="G122" s="42"/>
      <c r="H122" s="42"/>
      <c r="I122" s="42"/>
      <c r="J122" s="42"/>
      <c r="K122" s="42"/>
      <c r="L122" s="42"/>
      <c r="M122" s="42"/>
    </row>
    <row r="123">
      <c r="A123" s="181"/>
      <c r="B123" s="178"/>
      <c r="C123" s="182"/>
      <c r="D123" s="183"/>
      <c r="E123" s="107">
        <v>-55.88</v>
      </c>
      <c r="G123" s="42"/>
      <c r="H123" s="42"/>
      <c r="I123" s="42"/>
      <c r="J123" s="42"/>
      <c r="K123" s="42"/>
      <c r="L123" s="42"/>
      <c r="M123" s="42"/>
    </row>
    <row r="124">
      <c r="A124" s="181"/>
      <c r="B124" s="178"/>
      <c r="C124" s="182"/>
      <c r="D124" s="183"/>
      <c r="E124" s="107">
        <v>-25.02</v>
      </c>
      <c r="G124" s="42"/>
      <c r="H124" s="42"/>
      <c r="I124" s="42"/>
      <c r="J124" s="42"/>
      <c r="K124" s="42"/>
      <c r="L124" s="42"/>
      <c r="M124" s="42"/>
    </row>
    <row r="125">
      <c r="A125" s="181"/>
      <c r="B125" s="178"/>
      <c r="C125" s="182"/>
      <c r="D125" s="183"/>
      <c r="E125" s="107">
        <v>-81.2</v>
      </c>
      <c r="G125" s="42"/>
      <c r="H125" s="42"/>
      <c r="I125" s="42"/>
      <c r="J125" s="42"/>
      <c r="K125" s="42"/>
      <c r="L125" s="42"/>
      <c r="M125" s="42"/>
    </row>
    <row r="126">
      <c r="A126" s="192"/>
      <c r="B126" s="184"/>
      <c r="C126" s="189"/>
      <c r="D126" s="186"/>
      <c r="E126" s="107"/>
      <c r="G126" s="42"/>
      <c r="H126" s="42"/>
      <c r="I126" s="42"/>
      <c r="J126" s="42"/>
      <c r="K126" s="42"/>
      <c r="L126" s="42"/>
      <c r="M126" s="42"/>
    </row>
    <row r="127">
      <c r="A127" s="204"/>
      <c r="B127" s="184"/>
      <c r="C127" s="194"/>
      <c r="D127" s="194"/>
      <c r="E127" s="107"/>
      <c r="G127" s="42"/>
      <c r="H127" s="42"/>
      <c r="I127" s="42"/>
      <c r="J127" s="42"/>
      <c r="K127" s="42"/>
      <c r="L127" s="42"/>
      <c r="M127" s="42"/>
    </row>
    <row r="128">
      <c r="A128" s="181"/>
      <c r="B128" s="178"/>
      <c r="C128" s="182"/>
      <c r="D128" s="180"/>
      <c r="E128" s="107"/>
      <c r="G128" s="42"/>
      <c r="H128" s="42"/>
      <c r="I128" s="42"/>
      <c r="J128" s="42"/>
      <c r="K128" s="42"/>
      <c r="L128" s="42"/>
      <c r="M128" s="42"/>
    </row>
    <row r="129">
      <c r="A129" s="192"/>
      <c r="B129" s="186"/>
      <c r="C129" s="189"/>
      <c r="D129" s="186"/>
      <c r="E129" s="107"/>
      <c r="G129" s="42"/>
      <c r="H129" s="42"/>
      <c r="I129" s="42"/>
      <c r="J129" s="42"/>
      <c r="K129" s="42"/>
      <c r="L129" s="42"/>
      <c r="M129" s="42"/>
    </row>
    <row r="130">
      <c r="A130" s="181"/>
      <c r="B130" s="178"/>
      <c r="C130" s="182"/>
      <c r="D130" s="180"/>
      <c r="E130" s="107"/>
      <c r="G130" s="42"/>
      <c r="H130" s="42"/>
      <c r="I130" s="42"/>
      <c r="J130" s="42"/>
      <c r="K130" s="42"/>
      <c r="L130" s="42"/>
      <c r="M130" s="42"/>
    </row>
    <row r="131">
      <c r="A131" s="192"/>
      <c r="B131" s="186"/>
      <c r="C131" s="189"/>
      <c r="D131" s="186"/>
      <c r="E131" s="107"/>
      <c r="G131" s="42"/>
      <c r="H131" s="42"/>
      <c r="I131" s="42"/>
      <c r="J131" s="42"/>
      <c r="K131" s="42"/>
      <c r="L131" s="42"/>
      <c r="M131" s="42"/>
    </row>
    <row r="132">
      <c r="A132" s="181"/>
      <c r="B132" s="178"/>
      <c r="C132" s="182"/>
      <c r="D132" s="180"/>
      <c r="E132" s="107"/>
      <c r="G132" s="42"/>
      <c r="H132" s="42"/>
      <c r="I132" s="42"/>
      <c r="J132" s="42"/>
      <c r="K132" s="42"/>
      <c r="L132" s="42"/>
      <c r="M132" s="42"/>
    </row>
    <row r="133">
      <c r="A133" s="188"/>
      <c r="B133" s="186"/>
      <c r="C133" s="189"/>
      <c r="D133" s="186"/>
      <c r="E133" s="107"/>
      <c r="G133" s="42"/>
      <c r="H133" s="42"/>
      <c r="I133" s="42"/>
      <c r="J133" s="42"/>
      <c r="K133" s="42"/>
      <c r="L133" s="42"/>
      <c r="M133" s="42"/>
    </row>
    <row r="134">
      <c r="A134" s="181"/>
      <c r="B134" s="178"/>
      <c r="C134" s="182"/>
      <c r="D134" s="180"/>
      <c r="E134" s="107"/>
      <c r="G134" s="42"/>
      <c r="H134" s="42"/>
      <c r="I134" s="42"/>
      <c r="J134" s="42"/>
      <c r="K134" s="42"/>
      <c r="L134" s="42"/>
      <c r="M134" s="42"/>
    </row>
    <row r="135">
      <c r="A135" s="181"/>
      <c r="B135" s="178"/>
      <c r="C135" s="182"/>
      <c r="D135" s="180"/>
      <c r="E135" s="107"/>
      <c r="G135" s="42"/>
      <c r="H135" s="42"/>
      <c r="I135" s="42"/>
      <c r="J135" s="42"/>
      <c r="K135" s="42"/>
      <c r="L135" s="42"/>
      <c r="M135" s="42"/>
    </row>
    <row r="136">
      <c r="A136" s="188"/>
      <c r="B136" s="186"/>
      <c r="C136" s="189"/>
      <c r="D136" s="186"/>
      <c r="E136" s="107"/>
      <c r="G136" s="42"/>
      <c r="H136" s="42"/>
      <c r="I136" s="42"/>
      <c r="J136" s="42"/>
      <c r="K136" s="42"/>
      <c r="L136" s="42"/>
      <c r="M136" s="42"/>
    </row>
    <row r="137">
      <c r="A137" s="181"/>
      <c r="B137" s="178"/>
      <c r="C137" s="182"/>
      <c r="D137" s="180"/>
      <c r="E137" s="107"/>
      <c r="G137" s="42"/>
      <c r="H137" s="42"/>
      <c r="I137" s="42"/>
      <c r="J137" s="42"/>
      <c r="K137" s="42"/>
      <c r="L137" s="42"/>
      <c r="M137" s="42"/>
    </row>
    <row r="138">
      <c r="A138" s="181"/>
      <c r="B138" s="178"/>
      <c r="C138" s="182"/>
      <c r="D138" s="180"/>
      <c r="E138" s="107"/>
      <c r="G138" s="42"/>
      <c r="H138" s="42"/>
      <c r="I138" s="42"/>
      <c r="J138" s="42"/>
      <c r="K138" s="42"/>
      <c r="L138" s="42"/>
      <c r="M138" s="42"/>
    </row>
    <row r="139">
      <c r="A139" s="192"/>
      <c r="B139" s="184"/>
      <c r="C139" s="202"/>
      <c r="D139" s="193"/>
      <c r="E139" s="107"/>
      <c r="G139" s="42"/>
      <c r="H139" s="42"/>
      <c r="I139" s="42"/>
      <c r="J139" s="42"/>
      <c r="K139" s="42"/>
      <c r="L139" s="42"/>
      <c r="M139" s="42"/>
    </row>
    <row r="140">
      <c r="A140" s="181"/>
      <c r="B140" s="205"/>
      <c r="C140" s="183"/>
      <c r="D140" s="183"/>
      <c r="E140" s="107"/>
      <c r="G140" s="42"/>
      <c r="H140" s="42"/>
      <c r="I140" s="42"/>
      <c r="J140" s="42"/>
      <c r="K140" s="42"/>
      <c r="L140" s="42"/>
      <c r="M140" s="42"/>
    </row>
    <row r="141">
      <c r="A141" s="188"/>
      <c r="B141" s="186"/>
      <c r="C141" s="189"/>
      <c r="D141" s="186"/>
      <c r="E141" s="107"/>
      <c r="G141" s="42"/>
      <c r="H141" s="42"/>
      <c r="I141" s="42"/>
      <c r="J141" s="42"/>
      <c r="K141" s="42"/>
      <c r="L141" s="42"/>
      <c r="M141" s="42"/>
    </row>
    <row r="142">
      <c r="A142" s="181"/>
      <c r="B142" s="205"/>
      <c r="C142" s="183"/>
      <c r="D142" s="183"/>
      <c r="E142" s="107"/>
      <c r="G142" s="42"/>
      <c r="H142" s="42"/>
      <c r="I142" s="42"/>
      <c r="J142" s="42"/>
      <c r="K142" s="42"/>
      <c r="L142" s="42"/>
      <c r="M142" s="42"/>
    </row>
    <row r="143">
      <c r="A143" s="188"/>
      <c r="B143" s="186"/>
      <c r="C143" s="189"/>
      <c r="D143" s="186"/>
      <c r="E143" s="107"/>
      <c r="G143" s="42"/>
      <c r="H143" s="42"/>
      <c r="I143" s="42"/>
      <c r="J143" s="42"/>
      <c r="K143" s="42"/>
      <c r="L143" s="42"/>
      <c r="M143" s="42"/>
    </row>
    <row r="144">
      <c r="A144" s="181"/>
      <c r="B144" s="205"/>
      <c r="C144" s="183"/>
      <c r="D144" s="183"/>
      <c r="E144" s="107"/>
      <c r="G144" s="42"/>
      <c r="H144" s="42"/>
      <c r="I144" s="42"/>
      <c r="J144" s="42"/>
      <c r="K144" s="42"/>
      <c r="L144" s="42"/>
      <c r="M144" s="42"/>
    </row>
    <row r="145">
      <c r="A145" s="181"/>
      <c r="B145" s="205"/>
      <c r="C145" s="183"/>
      <c r="D145" s="183"/>
      <c r="E145" s="107"/>
      <c r="G145" s="42"/>
      <c r="H145" s="42"/>
      <c r="I145" s="42"/>
      <c r="J145" s="42"/>
      <c r="K145" s="42"/>
      <c r="L145" s="42"/>
      <c r="M145" s="42"/>
    </row>
    <row r="146">
      <c r="A146" s="181"/>
      <c r="B146" s="205"/>
      <c r="C146" s="183"/>
      <c r="D146" s="183"/>
      <c r="E146" s="107"/>
      <c r="G146" s="42"/>
      <c r="H146" s="42"/>
      <c r="I146" s="42"/>
      <c r="J146" s="42"/>
      <c r="K146" s="42"/>
      <c r="L146" s="42"/>
      <c r="M146" s="42"/>
    </row>
    <row r="147">
      <c r="A147" s="188"/>
      <c r="B147" s="186"/>
      <c r="C147" s="189"/>
      <c r="D147" s="186"/>
      <c r="E147" s="107"/>
      <c r="G147" s="42"/>
      <c r="H147" s="42"/>
      <c r="I147" s="42"/>
      <c r="J147" s="42"/>
      <c r="K147" s="42"/>
      <c r="L147" s="42"/>
      <c r="M147" s="42"/>
    </row>
    <row r="148">
      <c r="A148" s="181"/>
      <c r="B148" s="205"/>
      <c r="C148" s="183"/>
      <c r="D148" s="183"/>
      <c r="E148" s="107"/>
      <c r="G148" s="42"/>
      <c r="H148" s="42"/>
      <c r="I148" s="42"/>
      <c r="J148" s="42"/>
      <c r="K148" s="42"/>
      <c r="L148" s="42"/>
      <c r="M148" s="42"/>
    </row>
    <row r="149">
      <c r="A149" s="181"/>
      <c r="B149" s="205"/>
      <c r="C149" s="183"/>
      <c r="D149" s="183"/>
      <c r="E149" s="107"/>
      <c r="G149" s="42"/>
      <c r="H149" s="42"/>
      <c r="I149" s="42"/>
      <c r="J149" s="42"/>
      <c r="K149" s="42"/>
      <c r="L149" s="42"/>
      <c r="M149" s="42"/>
    </row>
    <row r="150">
      <c r="A150" s="188"/>
      <c r="B150" s="186"/>
      <c r="C150" s="189"/>
      <c r="D150" s="186"/>
      <c r="E150" s="107"/>
      <c r="G150" s="42"/>
      <c r="H150" s="42"/>
      <c r="I150" s="42"/>
      <c r="J150" s="42"/>
      <c r="K150" s="42"/>
      <c r="L150" s="42"/>
      <c r="M150" s="42"/>
    </row>
    <row r="151">
      <c r="A151" s="188"/>
      <c r="B151" s="186"/>
      <c r="C151" s="189"/>
      <c r="D151" s="186"/>
      <c r="E151" s="107"/>
      <c r="G151" s="42"/>
      <c r="H151" s="42"/>
      <c r="I151" s="42"/>
      <c r="J151" s="42"/>
      <c r="K151" s="42"/>
      <c r="L151" s="42"/>
      <c r="M151" s="42"/>
    </row>
    <row r="152">
      <c r="A152" s="181"/>
      <c r="B152" s="178"/>
      <c r="C152" s="182"/>
      <c r="D152" s="183"/>
      <c r="E152" s="107"/>
      <c r="G152" s="42"/>
      <c r="H152" s="42"/>
      <c r="I152" s="42"/>
      <c r="J152" s="42"/>
      <c r="K152" s="42"/>
      <c r="L152" s="42"/>
      <c r="M152" s="42"/>
    </row>
    <row r="153">
      <c r="A153" s="181"/>
      <c r="B153" s="178"/>
      <c r="C153" s="182"/>
      <c r="D153" s="183"/>
      <c r="E153" s="107"/>
      <c r="G153" s="42"/>
      <c r="H153" s="42"/>
      <c r="I153" s="42"/>
      <c r="J153" s="42"/>
      <c r="K153" s="42"/>
      <c r="L153" s="42"/>
      <c r="M153" s="42"/>
    </row>
    <row r="154">
      <c r="A154" s="181"/>
      <c r="B154" s="178"/>
      <c r="C154" s="182"/>
      <c r="D154" s="183"/>
      <c r="E154" s="107"/>
      <c r="G154" s="42"/>
      <c r="H154" s="42"/>
      <c r="I154" s="42"/>
      <c r="J154" s="42"/>
      <c r="K154" s="42"/>
      <c r="L154" s="42"/>
      <c r="M154" s="42"/>
    </row>
    <row r="155">
      <c r="A155" s="181"/>
      <c r="B155" s="178"/>
      <c r="C155" s="182"/>
      <c r="D155" s="183"/>
      <c r="E155" s="107"/>
      <c r="G155" s="42"/>
      <c r="H155" s="42"/>
      <c r="I155" s="42"/>
      <c r="J155" s="42"/>
      <c r="K155" s="42"/>
      <c r="L155" s="42"/>
      <c r="M155" s="42"/>
    </row>
    <row r="156">
      <c r="A156" s="188"/>
      <c r="B156" s="186"/>
      <c r="C156" s="189"/>
      <c r="D156" s="186"/>
      <c r="E156" s="107"/>
      <c r="G156" s="42"/>
      <c r="H156" s="42"/>
      <c r="I156" s="42"/>
      <c r="J156" s="42"/>
      <c r="K156" s="42"/>
      <c r="L156" s="42"/>
      <c r="M156" s="42"/>
    </row>
    <row r="157">
      <c r="A157" s="188"/>
      <c r="B157" s="186"/>
      <c r="C157" s="189"/>
      <c r="D157" s="186"/>
      <c r="E157" s="107"/>
      <c r="G157" s="42"/>
      <c r="H157" s="42"/>
      <c r="I157" s="42"/>
      <c r="J157" s="42"/>
      <c r="K157" s="42"/>
      <c r="L157" s="42"/>
      <c r="M157" s="42"/>
    </row>
    <row r="158">
      <c r="A158" s="188"/>
      <c r="B158" s="186"/>
      <c r="C158" s="189"/>
      <c r="D158" s="186"/>
      <c r="E158" s="107"/>
      <c r="G158" s="42"/>
      <c r="H158" s="42"/>
      <c r="I158" s="42"/>
      <c r="J158" s="42"/>
      <c r="K158" s="42"/>
      <c r="L158" s="42"/>
      <c r="M158" s="42"/>
    </row>
    <row r="159">
      <c r="A159" s="190"/>
      <c r="B159" s="184"/>
      <c r="C159" s="194"/>
      <c r="D159" s="194"/>
      <c r="E159" s="107"/>
      <c r="G159" s="42"/>
      <c r="H159" s="42"/>
      <c r="I159" s="42"/>
      <c r="J159" s="42"/>
      <c r="K159" s="42"/>
      <c r="L159" s="42"/>
      <c r="M159" s="42"/>
    </row>
    <row r="160">
      <c r="A160" s="190"/>
      <c r="B160" s="184"/>
      <c r="C160" s="194"/>
      <c r="D160" s="194"/>
      <c r="E160" s="107"/>
      <c r="G160" s="42"/>
      <c r="H160" s="42"/>
      <c r="I160" s="42"/>
      <c r="J160" s="42"/>
      <c r="K160" s="42"/>
      <c r="L160" s="42"/>
      <c r="M160" s="42"/>
    </row>
    <row r="161">
      <c r="A161" s="188"/>
      <c r="B161" s="186"/>
      <c r="C161" s="189"/>
      <c r="D161" s="186"/>
      <c r="E161" s="107"/>
      <c r="G161" s="42"/>
      <c r="H161" s="42"/>
      <c r="I161" s="42"/>
      <c r="J161" s="42"/>
      <c r="K161" s="42"/>
      <c r="L161" s="42"/>
      <c r="M161" s="42"/>
    </row>
    <row r="162">
      <c r="A162" s="188"/>
      <c r="B162" s="186"/>
      <c r="C162" s="189"/>
      <c r="D162" s="186"/>
      <c r="E162" s="107"/>
      <c r="G162" s="42"/>
      <c r="H162" s="42"/>
      <c r="I162" s="42"/>
      <c r="J162" s="42"/>
      <c r="K162" s="42"/>
      <c r="L162" s="42"/>
      <c r="M162" s="42"/>
    </row>
    <row r="163">
      <c r="A163" s="192"/>
      <c r="B163" s="184"/>
      <c r="C163" s="202"/>
      <c r="D163" s="193"/>
      <c r="E163" s="107"/>
      <c r="G163" s="42"/>
      <c r="H163" s="42"/>
      <c r="I163" s="42"/>
      <c r="J163" s="42"/>
      <c r="K163" s="42"/>
      <c r="L163" s="42"/>
      <c r="M163" s="42"/>
    </row>
    <row r="164">
      <c r="A164" s="188"/>
      <c r="B164" s="186"/>
      <c r="C164" s="189"/>
      <c r="D164" s="186"/>
      <c r="E164" s="107"/>
      <c r="G164" s="42"/>
      <c r="H164" s="42"/>
      <c r="I164" s="42"/>
      <c r="J164" s="42"/>
      <c r="K164" s="42"/>
      <c r="L164" s="42"/>
      <c r="M164" s="42"/>
    </row>
    <row r="165">
      <c r="A165" s="190"/>
      <c r="B165" s="184"/>
      <c r="C165" s="194"/>
      <c r="D165" s="194"/>
      <c r="E165" s="107"/>
      <c r="G165" s="42"/>
      <c r="H165" s="42"/>
      <c r="I165" s="42"/>
      <c r="J165" s="42"/>
      <c r="K165" s="42"/>
      <c r="L165" s="42"/>
      <c r="M165" s="42"/>
    </row>
    <row r="166">
      <c r="A166" s="190"/>
      <c r="B166" s="184"/>
      <c r="C166" s="194"/>
      <c r="D166" s="194"/>
      <c r="E166" s="107"/>
      <c r="G166" s="42"/>
      <c r="H166" s="42"/>
      <c r="I166" s="42"/>
      <c r="J166" s="42"/>
      <c r="K166" s="42"/>
      <c r="L166" s="42"/>
      <c r="M166" s="42"/>
    </row>
    <row r="167">
      <c r="A167" s="188"/>
      <c r="B167" s="186"/>
      <c r="C167" s="189"/>
      <c r="D167" s="186"/>
      <c r="E167" s="107"/>
      <c r="G167" s="42"/>
      <c r="H167" s="42"/>
      <c r="I167" s="42"/>
      <c r="J167" s="42"/>
      <c r="K167" s="42"/>
      <c r="L167" s="42"/>
      <c r="M167" s="42"/>
    </row>
    <row r="168">
      <c r="A168" s="188"/>
      <c r="B168" s="186"/>
      <c r="C168" s="189"/>
      <c r="D168" s="186"/>
      <c r="E168" s="107"/>
      <c r="G168" s="42"/>
      <c r="H168" s="42"/>
      <c r="I168" s="42"/>
      <c r="J168" s="42"/>
      <c r="K168" s="42"/>
      <c r="L168" s="42"/>
      <c r="M168" s="42"/>
    </row>
    <row r="169">
      <c r="A169" s="188"/>
      <c r="B169" s="186"/>
      <c r="C169" s="189"/>
      <c r="D169" s="186"/>
      <c r="E169" s="107"/>
      <c r="G169" s="42"/>
      <c r="H169" s="42"/>
      <c r="I169" s="42"/>
      <c r="J169" s="42"/>
      <c r="K169" s="42"/>
      <c r="L169" s="42"/>
      <c r="M169" s="42"/>
    </row>
    <row r="170">
      <c r="A170" s="188"/>
      <c r="B170" s="186"/>
      <c r="C170" s="189"/>
      <c r="D170" s="186"/>
      <c r="E170" s="107"/>
      <c r="G170" s="42"/>
      <c r="H170" s="42"/>
      <c r="I170" s="42"/>
      <c r="J170" s="42"/>
      <c r="K170" s="42"/>
      <c r="L170" s="42"/>
      <c r="M170" s="42"/>
    </row>
    <row r="171">
      <c r="A171" s="188"/>
      <c r="B171" s="186"/>
      <c r="C171" s="189"/>
      <c r="D171" s="186"/>
      <c r="E171" s="107"/>
      <c r="G171" s="42"/>
      <c r="H171" s="42"/>
      <c r="I171" s="42"/>
      <c r="J171" s="42"/>
      <c r="K171" s="42"/>
      <c r="L171" s="42"/>
      <c r="M171" s="42"/>
    </row>
    <row r="172">
      <c r="A172" s="188"/>
      <c r="B172" s="186"/>
      <c r="C172" s="189"/>
      <c r="D172" s="186"/>
      <c r="E172" s="107"/>
      <c r="G172" s="42"/>
      <c r="H172" s="42"/>
      <c r="I172" s="42"/>
      <c r="J172" s="42"/>
      <c r="K172" s="42"/>
      <c r="L172" s="42"/>
      <c r="M172" s="42"/>
    </row>
    <row r="173">
      <c r="A173" s="190"/>
      <c r="B173" s="184"/>
      <c r="C173" s="194"/>
      <c r="D173" s="194"/>
      <c r="E173" s="107"/>
      <c r="G173" s="42"/>
      <c r="H173" s="42"/>
      <c r="I173" s="42"/>
      <c r="J173" s="42"/>
      <c r="K173" s="42"/>
      <c r="L173" s="42"/>
      <c r="M173" s="42"/>
    </row>
    <row r="174">
      <c r="A174" s="188"/>
      <c r="B174" s="186"/>
      <c r="C174" s="189"/>
      <c r="D174" s="186"/>
      <c r="E174" s="107"/>
      <c r="G174" s="42"/>
      <c r="H174" s="42"/>
      <c r="I174" s="42"/>
      <c r="J174" s="42"/>
      <c r="K174" s="42"/>
      <c r="L174" s="42"/>
      <c r="M174" s="42"/>
    </row>
    <row r="175">
      <c r="A175" s="188"/>
      <c r="B175" s="186"/>
      <c r="C175" s="189"/>
      <c r="D175" s="186"/>
      <c r="E175" s="107"/>
      <c r="G175" s="42"/>
      <c r="H175" s="42"/>
      <c r="I175" s="42"/>
      <c r="J175" s="42"/>
      <c r="K175" s="42"/>
      <c r="L175" s="42"/>
      <c r="M175" s="42"/>
    </row>
    <row r="176">
      <c r="A176" s="188"/>
      <c r="B176" s="186"/>
      <c r="C176" s="189"/>
      <c r="D176" s="186"/>
      <c r="E176" s="107"/>
      <c r="G176" s="42"/>
      <c r="H176" s="42"/>
      <c r="I176" s="42"/>
      <c r="J176" s="42"/>
      <c r="K176" s="42"/>
      <c r="L176" s="42"/>
      <c r="M176" s="42"/>
    </row>
    <row r="177">
      <c r="A177" s="188"/>
      <c r="B177" s="186"/>
      <c r="C177" s="189"/>
      <c r="D177" s="186"/>
      <c r="E177" s="107"/>
      <c r="G177" s="42"/>
      <c r="H177" s="42"/>
      <c r="I177" s="42"/>
      <c r="J177" s="42"/>
      <c r="K177" s="42"/>
      <c r="L177" s="42"/>
      <c r="M177" s="42"/>
    </row>
    <row r="178">
      <c r="A178" s="190"/>
      <c r="B178" s="184"/>
      <c r="C178" s="194"/>
      <c r="D178" s="194"/>
      <c r="E178" s="107"/>
      <c r="G178" s="42"/>
      <c r="H178" s="42"/>
      <c r="I178" s="42"/>
      <c r="J178" s="42"/>
      <c r="K178" s="42"/>
      <c r="L178" s="42"/>
      <c r="M178" s="42"/>
    </row>
    <row r="179">
      <c r="A179" s="174"/>
      <c r="B179" s="175"/>
      <c r="C179" s="176"/>
      <c r="D179" s="175"/>
      <c r="E179" s="107"/>
      <c r="G179" s="42"/>
      <c r="H179" s="42"/>
      <c r="I179" s="42"/>
      <c r="J179" s="42"/>
      <c r="K179" s="42"/>
      <c r="L179" s="42"/>
      <c r="M179" s="42"/>
    </row>
    <row r="180">
      <c r="A180" s="177"/>
      <c r="B180" s="178"/>
      <c r="C180" s="180"/>
      <c r="D180" s="180"/>
      <c r="E180" s="107"/>
      <c r="G180" s="42"/>
      <c r="H180" s="42"/>
      <c r="I180" s="42"/>
      <c r="J180" s="42"/>
      <c r="K180" s="42"/>
      <c r="L180" s="42"/>
      <c r="M180" s="42"/>
    </row>
    <row r="181">
      <c r="A181" s="174"/>
      <c r="B181" s="175"/>
      <c r="C181" s="176"/>
      <c r="D181" s="175"/>
      <c r="E181" s="107"/>
      <c r="G181" s="42"/>
      <c r="H181" s="42"/>
      <c r="I181" s="42"/>
      <c r="J181" s="42"/>
      <c r="K181" s="42"/>
      <c r="L181" s="42"/>
      <c r="M181" s="42"/>
    </row>
    <row r="182">
      <c r="A182" s="174"/>
      <c r="B182" s="175"/>
      <c r="C182" s="176"/>
      <c r="D182" s="175"/>
      <c r="E182" s="107"/>
      <c r="G182" s="42"/>
      <c r="H182" s="42"/>
      <c r="I182" s="42"/>
      <c r="J182" s="42"/>
      <c r="K182" s="42"/>
      <c r="L182" s="42"/>
      <c r="M182" s="42"/>
    </row>
    <row r="183">
      <c r="A183" s="174"/>
      <c r="B183" s="175"/>
      <c r="C183" s="176"/>
      <c r="D183" s="175"/>
      <c r="E183" s="107"/>
      <c r="G183" s="42"/>
      <c r="H183" s="42"/>
      <c r="I183" s="42"/>
      <c r="J183" s="42"/>
      <c r="K183" s="42"/>
      <c r="L183" s="42"/>
      <c r="M183" s="42"/>
    </row>
    <row r="184">
      <c r="A184" s="177"/>
      <c r="B184" s="178"/>
      <c r="C184" s="180"/>
      <c r="D184" s="180"/>
      <c r="E184" s="107"/>
      <c r="G184" s="42"/>
      <c r="H184" s="42"/>
      <c r="I184" s="42"/>
      <c r="J184" s="42"/>
      <c r="K184" s="42"/>
      <c r="L184" s="42"/>
      <c r="M184" s="42"/>
    </row>
    <row r="185">
      <c r="A185" s="181"/>
      <c r="B185" s="178"/>
      <c r="C185" s="182"/>
      <c r="D185" s="183"/>
      <c r="E185" s="107"/>
      <c r="G185" s="42"/>
      <c r="H185" s="42"/>
      <c r="I185" s="42"/>
      <c r="J185" s="42"/>
      <c r="K185" s="42"/>
      <c r="L185" s="42"/>
      <c r="M185" s="42"/>
    </row>
    <row r="186">
      <c r="A186" s="181"/>
      <c r="B186" s="178"/>
      <c r="C186" s="182"/>
      <c r="D186" s="183"/>
      <c r="E186" s="107"/>
      <c r="G186" s="42"/>
      <c r="H186" s="42"/>
      <c r="I186" s="42"/>
      <c r="J186" s="42"/>
      <c r="K186" s="42"/>
      <c r="L186" s="42"/>
      <c r="M186" s="42"/>
    </row>
    <row r="187">
      <c r="A187" s="181"/>
      <c r="B187" s="178"/>
      <c r="C187" s="182"/>
      <c r="D187" s="183"/>
      <c r="E187" s="107"/>
      <c r="G187" s="42"/>
      <c r="H187" s="42"/>
      <c r="I187" s="42"/>
      <c r="J187" s="42"/>
      <c r="K187" s="42"/>
      <c r="L187" s="42"/>
      <c r="M187" s="42"/>
    </row>
    <row r="188">
      <c r="A188" s="177"/>
      <c r="B188" s="178"/>
      <c r="C188" s="180"/>
      <c r="D188" s="180"/>
      <c r="E188" s="107"/>
      <c r="G188" s="42"/>
      <c r="H188" s="42"/>
      <c r="I188" s="42"/>
      <c r="J188" s="42"/>
      <c r="K188" s="42"/>
      <c r="L188" s="42"/>
      <c r="M188" s="42"/>
    </row>
    <row r="189">
      <c r="A189" s="177"/>
      <c r="B189" s="178"/>
      <c r="C189" s="180"/>
      <c r="D189" s="180"/>
      <c r="E189" s="107"/>
      <c r="G189" s="42"/>
      <c r="H189" s="42"/>
      <c r="I189" s="42"/>
      <c r="J189" s="42"/>
      <c r="K189" s="42"/>
      <c r="L189" s="42"/>
      <c r="M189" s="42"/>
    </row>
    <row r="190">
      <c r="A190" s="174"/>
      <c r="B190" s="175"/>
      <c r="C190" s="176"/>
      <c r="D190" s="175"/>
      <c r="E190" s="107"/>
      <c r="G190" s="42"/>
      <c r="H190" s="42"/>
      <c r="I190" s="42"/>
      <c r="J190" s="42"/>
      <c r="K190" s="42"/>
      <c r="L190" s="42"/>
      <c r="M190" s="42"/>
    </row>
    <row r="191">
      <c r="A191" s="174"/>
      <c r="B191" s="175"/>
      <c r="C191" s="176"/>
      <c r="D191" s="175"/>
      <c r="E191" s="107"/>
      <c r="G191" s="42"/>
      <c r="H191" s="42"/>
      <c r="I191" s="42"/>
      <c r="J191" s="42"/>
      <c r="K191" s="42"/>
      <c r="L191" s="42"/>
      <c r="M191" s="42"/>
    </row>
    <row r="192">
      <c r="A192" s="174"/>
      <c r="B192" s="175"/>
      <c r="C192" s="176"/>
      <c r="D192" s="175"/>
      <c r="E192" s="107"/>
      <c r="G192" s="42"/>
      <c r="H192" s="42"/>
      <c r="I192" s="42"/>
      <c r="J192" s="42"/>
      <c r="K192" s="42"/>
      <c r="L192" s="42"/>
      <c r="M192" s="42"/>
    </row>
    <row r="193">
      <c r="A193" s="174"/>
      <c r="B193" s="175"/>
      <c r="C193" s="176"/>
      <c r="D193" s="175"/>
      <c r="E193" s="107"/>
      <c r="G193" s="42"/>
      <c r="H193" s="42"/>
      <c r="I193" s="42"/>
      <c r="J193" s="42"/>
      <c r="K193" s="42"/>
      <c r="L193" s="42"/>
      <c r="M193" s="42"/>
    </row>
    <row r="194">
      <c r="A194" s="174"/>
      <c r="B194" s="175"/>
      <c r="C194" s="176"/>
      <c r="D194" s="175"/>
      <c r="E194" s="107"/>
      <c r="G194" s="42"/>
      <c r="H194" s="42"/>
      <c r="I194" s="42"/>
      <c r="J194" s="42"/>
      <c r="K194" s="42"/>
      <c r="L194" s="42"/>
      <c r="M194" s="42"/>
    </row>
    <row r="195">
      <c r="A195" s="174"/>
      <c r="B195" s="175"/>
      <c r="C195" s="176"/>
      <c r="D195" s="175"/>
      <c r="E195" s="107"/>
      <c r="G195" s="42"/>
      <c r="H195" s="42"/>
      <c r="I195" s="42"/>
      <c r="J195" s="42"/>
      <c r="K195" s="42"/>
      <c r="L195" s="42"/>
      <c r="M195" s="42"/>
    </row>
    <row r="196">
      <c r="A196" s="181"/>
      <c r="B196" s="178"/>
      <c r="C196" s="182"/>
      <c r="D196" s="183"/>
      <c r="E196" s="107"/>
      <c r="G196" s="42"/>
      <c r="H196" s="42"/>
      <c r="I196" s="42"/>
      <c r="J196" s="42"/>
      <c r="K196" s="42"/>
      <c r="L196" s="42"/>
      <c r="M196" s="42"/>
    </row>
    <row r="197">
      <c r="A197" s="181"/>
      <c r="B197" s="178"/>
      <c r="C197" s="182"/>
      <c r="D197" s="183"/>
      <c r="E197" s="107"/>
      <c r="G197" s="42"/>
      <c r="H197" s="42"/>
      <c r="I197" s="42"/>
      <c r="J197" s="42"/>
      <c r="K197" s="42"/>
      <c r="L197" s="42"/>
      <c r="M197" s="42"/>
    </row>
    <row r="198">
      <c r="A198" s="181"/>
      <c r="B198" s="178"/>
      <c r="C198" s="182"/>
      <c r="D198" s="183"/>
      <c r="E198" s="107"/>
      <c r="G198" s="42"/>
      <c r="H198" s="42"/>
      <c r="I198" s="42"/>
      <c r="J198" s="42"/>
      <c r="K198" s="42"/>
      <c r="L198" s="42"/>
      <c r="M198" s="42"/>
    </row>
    <row r="199">
      <c r="A199" s="174"/>
      <c r="B199" s="175"/>
      <c r="C199" s="176"/>
      <c r="D199" s="175"/>
      <c r="E199" s="107"/>
      <c r="G199" s="42"/>
      <c r="H199" s="42"/>
      <c r="I199" s="42"/>
      <c r="J199" s="42"/>
      <c r="K199" s="42"/>
      <c r="L199" s="42"/>
      <c r="M199" s="42"/>
    </row>
    <row r="200">
      <c r="A200" s="174"/>
      <c r="B200" s="175"/>
      <c r="C200" s="176"/>
      <c r="D200" s="175"/>
      <c r="E200" s="107"/>
      <c r="G200" s="42"/>
      <c r="H200" s="42"/>
      <c r="I200" s="42"/>
      <c r="J200" s="42"/>
      <c r="K200" s="42"/>
      <c r="L200" s="42"/>
      <c r="M200" s="42"/>
    </row>
    <row r="201">
      <c r="A201" s="174"/>
      <c r="B201" s="175"/>
      <c r="C201" s="176"/>
      <c r="D201" s="175"/>
      <c r="E201" s="107"/>
      <c r="G201" s="42"/>
      <c r="H201" s="42"/>
      <c r="I201" s="42"/>
      <c r="J201" s="42"/>
      <c r="K201" s="42"/>
      <c r="L201" s="42"/>
      <c r="M201" s="42"/>
    </row>
    <row r="202">
      <c r="A202" s="177"/>
      <c r="B202" s="178"/>
      <c r="C202" s="180"/>
      <c r="D202" s="180"/>
      <c r="E202" s="107"/>
      <c r="G202" s="42"/>
      <c r="H202" s="42"/>
      <c r="I202" s="42"/>
      <c r="J202" s="42"/>
      <c r="K202" s="42"/>
      <c r="L202" s="42"/>
      <c r="M202" s="42"/>
    </row>
    <row r="203">
      <c r="A203" s="177"/>
      <c r="B203" s="178"/>
      <c r="C203" s="180"/>
      <c r="D203" s="180"/>
      <c r="E203" s="107"/>
      <c r="G203" s="42"/>
      <c r="H203" s="42"/>
      <c r="I203" s="42"/>
      <c r="J203" s="42"/>
      <c r="K203" s="42"/>
      <c r="L203" s="42"/>
      <c r="M203" s="42"/>
    </row>
    <row r="204">
      <c r="A204" s="177"/>
      <c r="B204" s="178"/>
      <c r="C204" s="180"/>
      <c r="D204" s="180"/>
      <c r="E204" s="107"/>
      <c r="G204" s="42"/>
      <c r="H204" s="42"/>
      <c r="I204" s="42"/>
      <c r="J204" s="42"/>
      <c r="K204" s="42"/>
      <c r="L204" s="42"/>
      <c r="M204" s="42"/>
    </row>
    <row r="205">
      <c r="A205" s="203"/>
      <c r="B205" s="203"/>
      <c r="C205" s="203"/>
      <c r="D205" s="203"/>
      <c r="E205" s="107"/>
      <c r="G205" s="42"/>
      <c r="H205" s="42"/>
      <c r="I205" s="42"/>
      <c r="J205" s="42"/>
      <c r="K205" s="42"/>
      <c r="L205" s="42"/>
      <c r="M205" s="42"/>
    </row>
    <row r="206">
      <c r="A206" s="203"/>
      <c r="B206" s="203"/>
      <c r="C206" s="203"/>
      <c r="D206" s="203"/>
      <c r="E206" s="107"/>
      <c r="G206" s="42"/>
      <c r="H206" s="42"/>
      <c r="I206" s="42"/>
      <c r="J206" s="42"/>
      <c r="K206" s="42"/>
      <c r="L206" s="42"/>
      <c r="M206" s="42"/>
    </row>
    <row r="207">
      <c r="A207" s="203"/>
      <c r="B207" s="203"/>
      <c r="C207" s="203"/>
      <c r="D207" s="203"/>
      <c r="E207" s="107"/>
      <c r="G207" s="42"/>
      <c r="H207" s="42"/>
      <c r="I207" s="42"/>
      <c r="J207" s="42"/>
      <c r="K207" s="42"/>
      <c r="L207" s="42"/>
      <c r="M207" s="42"/>
    </row>
    <row r="208">
      <c r="A208" s="203"/>
      <c r="B208" s="203"/>
      <c r="C208" s="203"/>
      <c r="D208" s="203"/>
      <c r="E208" s="107"/>
      <c r="G208" s="42"/>
      <c r="H208" s="42"/>
      <c r="I208" s="42"/>
      <c r="J208" s="42"/>
      <c r="K208" s="42"/>
      <c r="L208" s="42"/>
      <c r="M208" s="42"/>
    </row>
    <row r="209">
      <c r="A209" s="203"/>
      <c r="B209" s="203"/>
      <c r="C209" s="203"/>
      <c r="D209" s="203"/>
      <c r="E209" s="107"/>
      <c r="G209" s="42"/>
      <c r="H209" s="42"/>
      <c r="I209" s="42"/>
      <c r="J209" s="42"/>
      <c r="K209" s="42"/>
      <c r="L209" s="42"/>
      <c r="M209" s="42"/>
    </row>
    <row r="210">
      <c r="A210" s="203"/>
      <c r="B210" s="203"/>
      <c r="C210" s="203"/>
      <c r="D210" s="203"/>
      <c r="E210" s="107"/>
      <c r="G210" s="42"/>
      <c r="H210" s="42"/>
      <c r="I210" s="42"/>
      <c r="J210" s="42"/>
      <c r="K210" s="42"/>
      <c r="L210" s="42"/>
      <c r="M210" s="42"/>
    </row>
    <row r="211">
      <c r="A211" s="203"/>
      <c r="B211" s="203"/>
      <c r="C211" s="203"/>
      <c r="D211" s="203"/>
      <c r="E211" s="107"/>
      <c r="G211" s="42"/>
      <c r="H211" s="42"/>
      <c r="I211" s="42"/>
      <c r="J211" s="42"/>
      <c r="K211" s="42"/>
      <c r="L211" s="42"/>
      <c r="M211" s="42"/>
    </row>
    <row r="212">
      <c r="A212" s="203"/>
      <c r="B212" s="203"/>
      <c r="C212" s="203"/>
      <c r="D212" s="203"/>
      <c r="E212" s="107"/>
      <c r="G212" s="42"/>
      <c r="H212" s="42"/>
      <c r="I212" s="42"/>
      <c r="J212" s="42"/>
      <c r="K212" s="42"/>
      <c r="L212" s="42"/>
      <c r="M212" s="42"/>
    </row>
    <row r="213">
      <c r="A213" s="203"/>
      <c r="B213" s="203"/>
      <c r="C213" s="203"/>
      <c r="D213" s="203"/>
      <c r="E213" s="107"/>
      <c r="G213" s="42"/>
      <c r="H213" s="42"/>
      <c r="I213" s="42"/>
      <c r="J213" s="42"/>
      <c r="K213" s="42"/>
      <c r="L213" s="42"/>
      <c r="M213" s="42"/>
    </row>
    <row r="214">
      <c r="A214" s="203"/>
      <c r="B214" s="203"/>
      <c r="C214" s="203"/>
      <c r="D214" s="203"/>
      <c r="E214" s="107"/>
      <c r="G214" s="42"/>
      <c r="H214" s="42"/>
      <c r="I214" s="42"/>
      <c r="J214" s="42"/>
      <c r="K214" s="42"/>
      <c r="L214" s="42"/>
      <c r="M214" s="42"/>
    </row>
    <row r="215">
      <c r="A215" s="203"/>
      <c r="B215" s="203"/>
      <c r="C215" s="203"/>
      <c r="D215" s="203"/>
      <c r="E215" s="132"/>
      <c r="G215" s="42"/>
      <c r="H215" s="42"/>
      <c r="I215" s="42"/>
      <c r="J215" s="42"/>
      <c r="K215" s="42"/>
      <c r="L215" s="42"/>
      <c r="M215" s="42"/>
    </row>
    <row r="216">
      <c r="A216" s="203"/>
      <c r="B216" s="203"/>
      <c r="C216" s="203"/>
      <c r="D216" s="203"/>
      <c r="E216" s="107"/>
      <c r="G216" s="42"/>
      <c r="H216" s="42"/>
      <c r="I216" s="42"/>
      <c r="J216" s="42"/>
      <c r="K216" s="42"/>
      <c r="L216" s="42"/>
      <c r="M216" s="42"/>
    </row>
    <row r="217">
      <c r="A217" s="203"/>
      <c r="B217" s="203"/>
      <c r="C217" s="203"/>
      <c r="D217" s="203"/>
      <c r="E217" s="107"/>
      <c r="G217" s="42"/>
      <c r="H217" s="42"/>
      <c r="I217" s="42"/>
      <c r="J217" s="42"/>
      <c r="K217" s="42"/>
      <c r="L217" s="42"/>
      <c r="M217" s="42"/>
    </row>
    <row r="218">
      <c r="A218" s="203"/>
      <c r="B218" s="203"/>
      <c r="C218" s="203"/>
      <c r="D218" s="203"/>
      <c r="E218" s="107"/>
      <c r="G218" s="42"/>
      <c r="H218" s="42"/>
      <c r="I218" s="42"/>
      <c r="J218" s="42"/>
      <c r="K218" s="42"/>
      <c r="L218" s="42"/>
      <c r="M218" s="42"/>
    </row>
    <row r="219">
      <c r="A219" s="203"/>
      <c r="B219" s="203"/>
      <c r="C219" s="203"/>
      <c r="D219" s="203"/>
      <c r="E219" s="107"/>
      <c r="G219" s="42"/>
      <c r="H219" s="42"/>
      <c r="I219" s="42"/>
      <c r="J219" s="42"/>
      <c r="K219" s="42"/>
      <c r="L219" s="42"/>
      <c r="M219" s="42"/>
    </row>
    <row r="220">
      <c r="A220" s="203"/>
      <c r="B220" s="203"/>
      <c r="C220" s="203"/>
      <c r="D220" s="203"/>
      <c r="E220" s="107"/>
      <c r="G220" s="42"/>
      <c r="H220" s="42"/>
      <c r="I220" s="42"/>
      <c r="J220" s="42"/>
      <c r="K220" s="42"/>
      <c r="L220" s="42"/>
      <c r="M220" s="42"/>
    </row>
    <row r="221">
      <c r="A221" s="203"/>
      <c r="B221" s="203"/>
      <c r="C221" s="203"/>
      <c r="D221" s="203"/>
      <c r="E221" s="107"/>
      <c r="G221" s="42"/>
      <c r="H221" s="42"/>
      <c r="I221" s="42"/>
      <c r="J221" s="42"/>
      <c r="K221" s="42"/>
      <c r="L221" s="42"/>
      <c r="M221" s="42"/>
    </row>
    <row r="222">
      <c r="A222" s="203"/>
      <c r="B222" s="203"/>
      <c r="C222" s="203"/>
      <c r="D222" s="203"/>
      <c r="E222" s="107"/>
      <c r="G222" s="42"/>
      <c r="H222" s="42"/>
      <c r="I222" s="42"/>
      <c r="J222" s="42"/>
      <c r="K222" s="42"/>
      <c r="L222" s="42"/>
      <c r="M222" s="42"/>
    </row>
    <row r="223">
      <c r="A223" s="203"/>
      <c r="B223" s="203"/>
      <c r="C223" s="203"/>
      <c r="D223" s="203"/>
      <c r="E223" s="107"/>
      <c r="G223" s="42"/>
      <c r="H223" s="42"/>
      <c r="I223" s="42"/>
      <c r="J223" s="42"/>
      <c r="K223" s="42"/>
      <c r="L223" s="42"/>
      <c r="M223" s="42"/>
    </row>
    <row r="224">
      <c r="A224" s="181"/>
      <c r="B224" s="178"/>
      <c r="C224" s="182"/>
      <c r="D224" s="183"/>
      <c r="E224" s="107"/>
      <c r="G224" s="42"/>
      <c r="H224" s="42"/>
      <c r="I224" s="42"/>
      <c r="J224" s="42"/>
      <c r="K224" s="42"/>
      <c r="L224" s="42"/>
      <c r="M224" s="42"/>
    </row>
    <row r="225">
      <c r="A225" s="181"/>
      <c r="B225" s="178"/>
      <c r="C225" s="182"/>
      <c r="D225" s="183"/>
      <c r="E225" s="107"/>
      <c r="G225" s="42"/>
      <c r="H225" s="42"/>
      <c r="I225" s="42"/>
      <c r="J225" s="42"/>
      <c r="K225" s="42"/>
      <c r="L225" s="42"/>
      <c r="M225" s="42"/>
    </row>
    <row r="226">
      <c r="A226" s="181"/>
      <c r="B226" s="178"/>
      <c r="C226" s="182"/>
      <c r="D226" s="183"/>
      <c r="E226" s="107"/>
      <c r="G226" s="42"/>
      <c r="H226" s="42"/>
      <c r="I226" s="42"/>
      <c r="J226" s="42"/>
      <c r="K226" s="42"/>
      <c r="L226" s="42"/>
      <c r="M226" s="42"/>
    </row>
    <row r="227">
      <c r="A227" s="181"/>
      <c r="B227" s="178"/>
      <c r="C227" s="182"/>
      <c r="D227" s="183"/>
      <c r="E227" s="107"/>
      <c r="G227" s="42"/>
      <c r="H227" s="42"/>
      <c r="I227" s="42"/>
      <c r="J227" s="42"/>
      <c r="K227" s="42"/>
      <c r="L227" s="42"/>
      <c r="M227" s="42"/>
    </row>
    <row r="228">
      <c r="A228" s="181"/>
      <c r="B228" s="178"/>
      <c r="C228" s="182"/>
      <c r="D228" s="183"/>
      <c r="E228" s="107"/>
      <c r="G228" s="42"/>
      <c r="H228" s="42"/>
      <c r="I228" s="42"/>
      <c r="J228" s="42"/>
      <c r="K228" s="42"/>
      <c r="L228" s="42"/>
      <c r="M228" s="42"/>
    </row>
    <row r="229">
      <c r="A229" s="181"/>
      <c r="B229" s="178"/>
      <c r="C229" s="182"/>
      <c r="D229" s="183"/>
      <c r="E229" s="107"/>
      <c r="G229" s="42"/>
      <c r="H229" s="42"/>
      <c r="I229" s="42"/>
      <c r="J229" s="42"/>
      <c r="K229" s="42"/>
      <c r="L229" s="42"/>
      <c r="M229" s="42"/>
    </row>
    <row r="230">
      <c r="A230" s="181"/>
      <c r="B230" s="178"/>
      <c r="C230" s="182"/>
      <c r="D230" s="183"/>
      <c r="E230" s="107"/>
      <c r="G230" s="42"/>
      <c r="H230" s="42"/>
      <c r="I230" s="42"/>
      <c r="J230" s="42"/>
      <c r="K230" s="42"/>
      <c r="L230" s="42"/>
      <c r="M230" s="42"/>
    </row>
    <row r="231">
      <c r="A231" s="181"/>
      <c r="B231" s="178"/>
      <c r="C231" s="182"/>
      <c r="D231" s="183"/>
      <c r="E231" s="107"/>
      <c r="G231" s="42"/>
      <c r="H231" s="42"/>
      <c r="I231" s="42"/>
      <c r="J231" s="42"/>
      <c r="K231" s="42"/>
      <c r="L231" s="42"/>
      <c r="M231" s="42"/>
    </row>
    <row r="232">
      <c r="A232" s="181"/>
      <c r="B232" s="178"/>
      <c r="C232" s="182"/>
      <c r="D232" s="183"/>
      <c r="E232" s="107"/>
      <c r="G232" s="42"/>
      <c r="H232" s="42"/>
      <c r="I232" s="42"/>
      <c r="J232" s="42"/>
      <c r="K232" s="42"/>
      <c r="L232" s="42"/>
      <c r="M232" s="42"/>
    </row>
    <row r="233">
      <c r="A233" s="181"/>
      <c r="B233" s="178"/>
      <c r="C233" s="182"/>
      <c r="D233" s="183"/>
      <c r="E233" s="107"/>
      <c r="G233" s="42"/>
      <c r="H233" s="42"/>
      <c r="I233" s="42"/>
      <c r="J233" s="42"/>
      <c r="K233" s="42"/>
      <c r="L233" s="42"/>
      <c r="M233" s="42"/>
    </row>
    <row r="234">
      <c r="A234" s="181"/>
      <c r="B234" s="178"/>
      <c r="C234" s="182"/>
      <c r="D234" s="183"/>
      <c r="E234" s="107"/>
      <c r="G234" s="42"/>
      <c r="H234" s="42"/>
      <c r="I234" s="42"/>
      <c r="J234" s="42"/>
      <c r="K234" s="42"/>
      <c r="L234" s="42"/>
      <c r="M234" s="42"/>
    </row>
    <row r="235">
      <c r="A235" s="181"/>
      <c r="B235" s="178"/>
      <c r="C235" s="182"/>
      <c r="D235" s="183"/>
      <c r="E235" s="107"/>
      <c r="G235" s="42"/>
      <c r="H235" s="42"/>
      <c r="I235" s="42"/>
      <c r="J235" s="42"/>
      <c r="K235" s="42"/>
      <c r="L235" s="42"/>
      <c r="M235" s="42"/>
    </row>
    <row r="236">
      <c r="A236" s="181"/>
      <c r="B236" s="178"/>
      <c r="C236" s="182"/>
      <c r="D236" s="183"/>
      <c r="E236" s="107"/>
      <c r="G236" s="42"/>
      <c r="H236" s="42"/>
      <c r="I236" s="42"/>
      <c r="J236" s="42"/>
      <c r="K236" s="42"/>
      <c r="L236" s="42"/>
      <c r="M236" s="42"/>
    </row>
    <row r="237">
      <c r="A237" s="44"/>
      <c r="B237" s="113"/>
      <c r="C237" s="93"/>
      <c r="D237" s="41"/>
      <c r="E237" s="107"/>
      <c r="G237" s="42"/>
      <c r="H237" s="42"/>
      <c r="I237" s="42"/>
      <c r="J237" s="42"/>
      <c r="K237" s="42"/>
      <c r="L237" s="42"/>
      <c r="M237" s="42"/>
    </row>
    <row r="238">
      <c r="A238" s="44"/>
      <c r="B238" s="113"/>
      <c r="C238" s="93"/>
      <c r="D238" s="41"/>
      <c r="E238" s="107"/>
      <c r="G238" s="42"/>
      <c r="H238" s="42"/>
      <c r="I238" s="42"/>
      <c r="J238" s="42"/>
      <c r="K238" s="42"/>
      <c r="L238" s="42"/>
      <c r="M238" s="42"/>
    </row>
    <row r="239">
      <c r="A239" s="44"/>
      <c r="B239" s="113"/>
      <c r="C239" s="93"/>
      <c r="D239" s="41"/>
      <c r="E239" s="107"/>
      <c r="G239" s="42"/>
      <c r="H239" s="42"/>
      <c r="I239" s="42"/>
      <c r="J239" s="42"/>
      <c r="K239" s="42"/>
      <c r="L239" s="42"/>
      <c r="M239" s="42"/>
    </row>
    <row r="240">
      <c r="A240" s="44"/>
      <c r="B240" s="113"/>
      <c r="C240" s="93"/>
      <c r="D240" s="41"/>
      <c r="E240" s="107"/>
      <c r="G240" s="42"/>
      <c r="H240" s="42"/>
      <c r="I240" s="42"/>
      <c r="J240" s="42"/>
      <c r="K240" s="42"/>
      <c r="L240" s="42"/>
      <c r="M240" s="42"/>
    </row>
  </sheetData>
  <autoFilter ref="$A$31:$D$87">
    <sortState ref="A31:D87">
      <sortCondition descending="1" ref="C31:C87"/>
      <sortCondition ref="A31:A87"/>
    </sortState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7 D32 D34 D60:D61 B31:B87 B93:B96 D126 D129 D131 D133 D136 D141 D143 D147 D150:D151 D156:D158 D161:D162 D164 D167:D172 D174:D177 D179 B101:B182 D181:D183 D190:D195 D199:D201 B184:B204 B224:B240">
      <formula1>'Hidden list and Figures'!$A$3:$A$15</formula1>
    </dataValidation>
    <dataValidation type="custom" allowBlank="1" showDropDown="1" showInputMessage="1" prompt="Select a date" sqref="A32:A45 A47 A50 A52:A53 A56:A86 A93:A96 A101:A204 A224:A240">
      <formula1>OR(NOT(ISERROR(DATEVALUE(A32))), AND(ISNUMBER(A32), LEFT(CELL("format", A32))="D"))</formula1>
    </dataValidation>
    <dataValidation type="list" allowBlank="1" sqref="B183">
      <formula1>'Hidden list and Figures'!$A$3:$A$15</formula1>
    </dataValidation>
  </dataValidations>
  <hyperlinks>
    <hyperlink r:id="rId1" ref="D65"/>
    <hyperlink r:id="rId2" ref="D70"/>
    <hyperlink r:id="rId3" ref="D74"/>
  </hyperlinks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4" max="4" width="36.88"/>
    <col customWidth="1" min="5" max="5" width="15.88"/>
    <col customWidth="1" min="6" max="6" width="15.13"/>
    <col customWidth="1" min="7" max="8" width="13.25"/>
    <col customWidth="1" min="9" max="9" width="6.25"/>
    <col customWidth="1" min="10" max="13" width="13.25"/>
  </cols>
  <sheetData>
    <row r="1">
      <c r="A1" s="1" t="s">
        <v>78</v>
      </c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>
      <c r="A3" s="3"/>
      <c r="B3" s="3"/>
      <c r="C3" s="4"/>
      <c r="D3" s="5"/>
      <c r="E3" s="5"/>
      <c r="F3" s="4"/>
      <c r="G3" s="4"/>
      <c r="H3" s="4"/>
      <c r="I3" s="6"/>
      <c r="J3" s="6"/>
      <c r="K3" s="6"/>
      <c r="L3" s="6"/>
      <c r="M3" s="6"/>
    </row>
    <row r="4">
      <c r="A4" s="7" t="s">
        <v>1</v>
      </c>
      <c r="E4" s="7"/>
      <c r="G4" s="8" t="s">
        <v>2</v>
      </c>
      <c r="H4" s="9"/>
      <c r="I4" s="10"/>
      <c r="J4" s="8" t="s">
        <v>3</v>
      </c>
      <c r="K4" s="9"/>
      <c r="L4" s="9"/>
      <c r="M4" s="9"/>
    </row>
    <row r="5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G5" s="13" t="s">
        <v>9</v>
      </c>
      <c r="H5" s="14"/>
    </row>
    <row r="6">
      <c r="A6" s="15" t="s">
        <v>10</v>
      </c>
      <c r="B6" s="16">
        <v>2663.68</v>
      </c>
      <c r="C6" s="16">
        <f t="shared" ref="C6:C16" si="1">sumif($B$20:$C$569,A6,$C$20:$C$569)</f>
        <v>1772.356667</v>
      </c>
      <c r="D6" s="17">
        <f t="shared" ref="D6:D16" si="2">B6-C6</f>
        <v>891.3233333</v>
      </c>
      <c r="E6" s="18">
        <f t="shared" ref="E6:E17" si="3">D6/B6</f>
        <v>0.3346210255</v>
      </c>
      <c r="G6" s="19" t="s">
        <v>11</v>
      </c>
      <c r="H6" s="96">
        <v>0.0</v>
      </c>
    </row>
    <row r="7">
      <c r="A7" s="20" t="s">
        <v>12</v>
      </c>
      <c r="B7" s="16">
        <v>0.0</v>
      </c>
      <c r="C7" s="16">
        <f t="shared" si="1"/>
        <v>0</v>
      </c>
      <c r="D7" s="17">
        <f t="shared" si="2"/>
        <v>0</v>
      </c>
      <c r="E7" s="18" t="str">
        <f t="shared" si="3"/>
        <v>#DIV/0!</v>
      </c>
      <c r="G7" s="19" t="s">
        <v>13</v>
      </c>
      <c r="H7" s="96">
        <v>3038.0</v>
      </c>
    </row>
    <row r="8">
      <c r="A8" s="21" t="s">
        <v>14</v>
      </c>
      <c r="B8" s="22">
        <v>250.0</v>
      </c>
      <c r="C8" s="16">
        <f t="shared" si="1"/>
        <v>0</v>
      </c>
      <c r="D8" s="23">
        <f t="shared" si="2"/>
        <v>250</v>
      </c>
      <c r="E8" s="18">
        <f t="shared" si="3"/>
        <v>1</v>
      </c>
      <c r="G8" s="64" t="s">
        <v>27</v>
      </c>
      <c r="H8" s="92">
        <f>SUM(H6:H7)</f>
        <v>3038</v>
      </c>
    </row>
    <row r="9">
      <c r="A9" s="24" t="s">
        <v>15</v>
      </c>
      <c r="B9" s="22">
        <v>400.0</v>
      </c>
      <c r="C9" s="16">
        <f t="shared" si="1"/>
        <v>0</v>
      </c>
      <c r="D9" s="23">
        <f t="shared" si="2"/>
        <v>400</v>
      </c>
      <c r="E9" s="18">
        <f t="shared" si="3"/>
        <v>1</v>
      </c>
    </row>
    <row r="10">
      <c r="A10" s="24" t="s">
        <v>17</v>
      </c>
      <c r="B10" s="22">
        <v>400.0</v>
      </c>
      <c r="C10" s="16">
        <f t="shared" si="1"/>
        <v>0</v>
      </c>
      <c r="D10" s="23">
        <f t="shared" si="2"/>
        <v>400</v>
      </c>
      <c r="E10" s="18">
        <f t="shared" si="3"/>
        <v>1</v>
      </c>
      <c r="G10" s="13" t="s">
        <v>16</v>
      </c>
      <c r="H10" s="14"/>
    </row>
    <row r="11">
      <c r="A11" s="22" t="s">
        <v>19</v>
      </c>
      <c r="B11" s="22">
        <v>200.0</v>
      </c>
      <c r="C11" s="16">
        <f t="shared" si="1"/>
        <v>0</v>
      </c>
      <c r="D11" s="23">
        <f t="shared" si="2"/>
        <v>200</v>
      </c>
      <c r="E11" s="18">
        <f t="shared" si="3"/>
        <v>1</v>
      </c>
      <c r="G11" s="19" t="s">
        <v>18</v>
      </c>
      <c r="H11" s="14">
        <f>sum(C17)</f>
        <v>1772.356667</v>
      </c>
    </row>
    <row r="12">
      <c r="A12" s="24" t="s">
        <v>79</v>
      </c>
      <c r="B12" s="22">
        <v>500.0</v>
      </c>
      <c r="C12" s="16">
        <f t="shared" si="1"/>
        <v>0</v>
      </c>
      <c r="D12" s="23">
        <f t="shared" si="2"/>
        <v>500</v>
      </c>
      <c r="E12" s="18">
        <f t="shared" si="3"/>
        <v>1</v>
      </c>
      <c r="H12" s="14"/>
    </row>
    <row r="13">
      <c r="A13" s="25" t="s">
        <v>22</v>
      </c>
      <c r="B13" s="22">
        <v>200.0</v>
      </c>
      <c r="C13" s="16">
        <f t="shared" si="1"/>
        <v>0</v>
      </c>
      <c r="D13" s="23">
        <f t="shared" si="2"/>
        <v>200</v>
      </c>
      <c r="E13" s="18">
        <f t="shared" si="3"/>
        <v>1</v>
      </c>
      <c r="G13" s="13" t="s">
        <v>21</v>
      </c>
      <c r="H13" s="14"/>
    </row>
    <row r="14">
      <c r="A14" s="26" t="s">
        <v>24</v>
      </c>
      <c r="B14" s="27">
        <v>0.0</v>
      </c>
      <c r="C14" s="16">
        <f t="shared" si="1"/>
        <v>0</v>
      </c>
      <c r="D14" s="23">
        <f t="shared" si="2"/>
        <v>0</v>
      </c>
      <c r="E14" s="18" t="str">
        <f t="shared" si="3"/>
        <v>#DIV/0!</v>
      </c>
      <c r="G14" s="19" t="s">
        <v>23</v>
      </c>
      <c r="H14" s="14"/>
      <c r="I14" s="6"/>
      <c r="J14" s="6"/>
      <c r="K14" s="6"/>
      <c r="L14" s="6"/>
      <c r="M14" s="6"/>
    </row>
    <row r="15">
      <c r="A15" s="26" t="s">
        <v>25</v>
      </c>
      <c r="B15" s="27">
        <v>300.0</v>
      </c>
      <c r="C15" s="16">
        <f t="shared" si="1"/>
        <v>0</v>
      </c>
      <c r="D15" s="28">
        <f t="shared" si="2"/>
        <v>300</v>
      </c>
      <c r="E15" s="18">
        <f t="shared" si="3"/>
        <v>1</v>
      </c>
      <c r="H15" s="4"/>
      <c r="I15" s="6"/>
      <c r="J15" s="6"/>
      <c r="K15" s="6"/>
      <c r="L15" s="6"/>
      <c r="M15" s="6"/>
    </row>
    <row r="16">
      <c r="A16" s="19" t="s">
        <v>571</v>
      </c>
      <c r="B16" s="27">
        <v>0.0</v>
      </c>
      <c r="C16" s="16">
        <f t="shared" si="1"/>
        <v>0</v>
      </c>
      <c r="D16" s="28">
        <f t="shared" si="2"/>
        <v>0</v>
      </c>
      <c r="E16" s="18" t="str">
        <f t="shared" si="3"/>
        <v>#DIV/0!</v>
      </c>
      <c r="F16" s="32"/>
      <c r="G16" s="13" t="s">
        <v>26</v>
      </c>
      <c r="H16" s="47">
        <f>SUMIF($B$20:$C$283,"Travel",$C$20:$C$283)</f>
        <v>0</v>
      </c>
      <c r="I16" s="34"/>
      <c r="J16" s="34"/>
      <c r="K16" s="34"/>
      <c r="L16" s="34"/>
      <c r="M16" s="34"/>
    </row>
    <row r="17">
      <c r="A17" s="30" t="s">
        <v>27</v>
      </c>
      <c r="B17" s="31">
        <f t="shared" ref="B17:C17" si="4">SUM(B6:B16)</f>
        <v>4913.68</v>
      </c>
      <c r="C17" s="31">
        <f t="shared" si="4"/>
        <v>1772.356667</v>
      </c>
      <c r="D17" s="31">
        <f>SUM(D6:D15)</f>
        <v>3141.323333</v>
      </c>
      <c r="E17" s="18">
        <f t="shared" si="3"/>
        <v>0.639301569</v>
      </c>
      <c r="F17" s="36"/>
      <c r="G17" s="13" t="s">
        <v>28</v>
      </c>
      <c r="H17" s="33">
        <f>500-SUMIF($B$20:$C$283,"Travel",$C$20:$C$283)+'April 2024'!H17</f>
        <v>1003.24</v>
      </c>
      <c r="I17" s="35"/>
      <c r="J17" s="35"/>
      <c r="K17" s="35"/>
      <c r="L17" s="35"/>
      <c r="M17" s="35"/>
    </row>
    <row r="18">
      <c r="A18" s="35"/>
      <c r="B18" s="36"/>
      <c r="C18" s="36"/>
      <c r="D18" s="37"/>
      <c r="E18" s="37"/>
      <c r="F18" s="36"/>
      <c r="G18" s="35"/>
      <c r="H18" s="35"/>
      <c r="I18" s="35"/>
      <c r="J18" s="35"/>
      <c r="K18" s="35"/>
      <c r="L18" s="35"/>
      <c r="M18" s="35"/>
    </row>
    <row r="19">
      <c r="A19" s="38" t="s">
        <v>29</v>
      </c>
      <c r="B19" s="38" t="s">
        <v>4</v>
      </c>
      <c r="C19" s="39" t="s">
        <v>30</v>
      </c>
      <c r="D19" s="38" t="s">
        <v>31</v>
      </c>
      <c r="E19" s="36"/>
      <c r="G19" s="35"/>
      <c r="H19" s="35"/>
      <c r="I19" s="35"/>
      <c r="J19" s="35"/>
      <c r="K19" s="35"/>
      <c r="L19" s="35"/>
      <c r="M19" s="35"/>
    </row>
    <row r="20">
      <c r="A20" s="40" t="s">
        <v>32</v>
      </c>
      <c r="B20" s="40" t="s">
        <v>10</v>
      </c>
      <c r="C20" s="41">
        <v>1476.0</v>
      </c>
      <c r="D20" s="95" t="s">
        <v>33</v>
      </c>
      <c r="E20" s="41"/>
      <c r="G20" s="42"/>
      <c r="H20" s="42"/>
      <c r="I20" s="42"/>
      <c r="J20" s="42"/>
      <c r="K20" s="42"/>
      <c r="L20" s="42"/>
      <c r="M20" s="42"/>
    </row>
    <row r="21">
      <c r="A21" s="40" t="s">
        <v>32</v>
      </c>
      <c r="B21" s="40" t="s">
        <v>10</v>
      </c>
      <c r="C21" s="41">
        <v>90.0</v>
      </c>
      <c r="D21" s="95" t="s">
        <v>36</v>
      </c>
      <c r="E21" s="41"/>
      <c r="G21" s="42"/>
      <c r="H21" s="42"/>
      <c r="I21" s="42"/>
      <c r="J21" s="42"/>
      <c r="K21" s="42"/>
      <c r="L21" s="42"/>
      <c r="M21" s="42"/>
    </row>
    <row r="22">
      <c r="A22" s="40" t="s">
        <v>32</v>
      </c>
      <c r="B22" s="40" t="s">
        <v>10</v>
      </c>
      <c r="C22" s="102">
        <f>460/6</f>
        <v>76.66666667</v>
      </c>
      <c r="D22" s="41" t="s">
        <v>23</v>
      </c>
      <c r="E22" s="41"/>
      <c r="H22" s="42"/>
      <c r="I22" s="42"/>
      <c r="J22" s="42"/>
      <c r="K22" s="42"/>
      <c r="L22" s="42"/>
      <c r="M22" s="42"/>
    </row>
    <row r="23">
      <c r="A23" s="40" t="s">
        <v>32</v>
      </c>
      <c r="B23" s="40" t="s">
        <v>10</v>
      </c>
      <c r="C23" s="41">
        <v>2.87</v>
      </c>
      <c r="D23" s="41" t="s">
        <v>39</v>
      </c>
      <c r="E23" s="41"/>
      <c r="G23" s="42"/>
      <c r="H23" s="40"/>
      <c r="I23" s="42"/>
      <c r="J23" s="40"/>
      <c r="K23" s="42"/>
      <c r="L23" s="42"/>
      <c r="M23" s="42"/>
    </row>
    <row r="24">
      <c r="A24" s="40" t="s">
        <v>32</v>
      </c>
      <c r="B24" s="40" t="s">
        <v>10</v>
      </c>
      <c r="C24" s="41">
        <v>2.99</v>
      </c>
      <c r="D24" s="41" t="s">
        <v>40</v>
      </c>
      <c r="E24" s="41"/>
      <c r="G24" s="40"/>
      <c r="H24" s="42"/>
      <c r="I24" s="42"/>
      <c r="J24" s="42"/>
      <c r="K24" s="42"/>
      <c r="L24" s="42"/>
      <c r="M24" s="42"/>
    </row>
    <row r="25">
      <c r="A25" s="40" t="s">
        <v>32</v>
      </c>
      <c r="B25" s="40" t="s">
        <v>10</v>
      </c>
      <c r="C25" s="41">
        <v>5.83</v>
      </c>
      <c r="D25" s="41" t="s">
        <v>41</v>
      </c>
      <c r="E25" s="41"/>
      <c r="G25" s="40"/>
      <c r="H25" s="42"/>
      <c r="I25" s="42"/>
      <c r="J25" s="42"/>
      <c r="K25" s="42"/>
      <c r="L25" s="42"/>
      <c r="M25" s="42"/>
    </row>
    <row r="26">
      <c r="A26" s="40" t="s">
        <v>32</v>
      </c>
      <c r="B26" s="40" t="s">
        <v>10</v>
      </c>
      <c r="C26" s="41">
        <v>6.0</v>
      </c>
      <c r="D26" s="41" t="s">
        <v>83</v>
      </c>
      <c r="E26" s="41"/>
      <c r="G26" s="42"/>
      <c r="H26" s="42"/>
      <c r="I26" s="42"/>
      <c r="J26" s="42"/>
      <c r="K26" s="42"/>
      <c r="L26" s="42"/>
      <c r="M26" s="42"/>
    </row>
    <row r="27">
      <c r="A27" s="40" t="s">
        <v>32</v>
      </c>
      <c r="B27" s="40" t="s">
        <v>10</v>
      </c>
      <c r="C27" s="41">
        <v>112.0</v>
      </c>
      <c r="D27" s="41" t="s">
        <v>42</v>
      </c>
      <c r="E27" s="41"/>
      <c r="G27" s="42"/>
      <c r="H27" s="40"/>
      <c r="I27" s="42"/>
      <c r="J27" s="42"/>
      <c r="K27" s="42"/>
      <c r="L27" s="42"/>
      <c r="M27" s="42"/>
    </row>
    <row r="28">
      <c r="E28" s="41"/>
      <c r="G28" s="40"/>
      <c r="H28" s="42"/>
      <c r="I28" s="42"/>
      <c r="J28" s="42"/>
      <c r="K28" s="42"/>
      <c r="L28" s="42"/>
      <c r="M28" s="42"/>
    </row>
    <row r="29">
      <c r="E29" s="41"/>
      <c r="G29" s="42"/>
      <c r="H29" s="42"/>
      <c r="I29" s="42"/>
      <c r="J29" s="42"/>
      <c r="K29" s="42"/>
      <c r="L29" s="42"/>
      <c r="M29" s="42"/>
    </row>
    <row r="30">
      <c r="A30" s="38" t="s">
        <v>29</v>
      </c>
      <c r="B30" s="38" t="s">
        <v>4</v>
      </c>
      <c r="C30" s="39" t="s">
        <v>30</v>
      </c>
      <c r="D30" s="38" t="s">
        <v>31</v>
      </c>
      <c r="E30" s="41"/>
      <c r="G30" s="40"/>
      <c r="H30" s="42"/>
      <c r="I30" s="42"/>
      <c r="J30" s="42"/>
      <c r="K30" s="42"/>
      <c r="L30" s="42"/>
      <c r="M30" s="42"/>
    </row>
    <row r="31">
      <c r="A31" s="44"/>
      <c r="B31" s="40"/>
      <c r="C31" s="41"/>
      <c r="D31" s="41"/>
      <c r="E31" s="41"/>
      <c r="G31" s="40"/>
      <c r="H31" s="42"/>
      <c r="I31" s="42"/>
      <c r="J31" s="42"/>
      <c r="K31" s="42"/>
      <c r="L31" s="42"/>
      <c r="M31" s="42"/>
    </row>
    <row r="32" ht="18.0" customHeight="1">
      <c r="A32" s="197"/>
      <c r="B32" s="198"/>
      <c r="C32" s="199"/>
      <c r="D32" s="198"/>
      <c r="E32" s="137"/>
      <c r="G32" s="42"/>
      <c r="H32" s="42"/>
      <c r="I32" s="42"/>
      <c r="J32" s="42"/>
      <c r="K32" s="42"/>
      <c r="L32" s="42"/>
      <c r="M32" s="42"/>
    </row>
    <row r="33">
      <c r="A33" s="197"/>
      <c r="B33" s="198"/>
      <c r="C33" s="199"/>
      <c r="D33" s="200"/>
      <c r="E33" s="137"/>
      <c r="G33" s="42"/>
      <c r="H33" s="42"/>
      <c r="I33" s="42"/>
      <c r="J33" s="42"/>
      <c r="K33" s="42"/>
      <c r="L33" s="42"/>
      <c r="M33" s="42"/>
    </row>
    <row r="34">
      <c r="A34" s="197"/>
      <c r="B34" s="198"/>
      <c r="C34" s="199"/>
      <c r="D34" s="198"/>
      <c r="E34" s="137"/>
      <c r="G34" s="42"/>
      <c r="H34" s="42"/>
      <c r="I34" s="42"/>
      <c r="J34" s="42"/>
      <c r="K34" s="42"/>
      <c r="L34" s="42"/>
      <c r="M34" s="42"/>
    </row>
    <row r="35">
      <c r="A35" s="197"/>
      <c r="B35" s="198"/>
      <c r="C35" s="199"/>
      <c r="D35" s="200"/>
      <c r="E35" s="137"/>
      <c r="G35" s="42"/>
      <c r="H35" s="42"/>
      <c r="I35" s="42"/>
      <c r="J35" s="42"/>
      <c r="K35" s="42"/>
      <c r="L35" s="42"/>
      <c r="M35" s="42"/>
    </row>
    <row r="36">
      <c r="A36" s="197"/>
      <c r="B36" s="198"/>
      <c r="C36" s="199"/>
      <c r="D36" s="200"/>
      <c r="E36" s="137"/>
      <c r="G36" s="42"/>
      <c r="H36" s="42"/>
      <c r="I36" s="42"/>
      <c r="J36" s="42"/>
      <c r="K36" s="42"/>
      <c r="L36" s="42"/>
      <c r="M36" s="42"/>
    </row>
    <row r="37">
      <c r="A37" s="197"/>
      <c r="B37" s="198"/>
      <c r="C37" s="199"/>
      <c r="D37" s="200"/>
      <c r="E37" s="137"/>
      <c r="G37" s="42"/>
      <c r="H37" s="42"/>
      <c r="I37" s="42"/>
      <c r="J37" s="42"/>
      <c r="K37" s="42"/>
      <c r="L37" s="42"/>
      <c r="M37" s="42"/>
    </row>
    <row r="38">
      <c r="A38" s="197"/>
      <c r="B38" s="198"/>
      <c r="C38" s="199"/>
      <c r="D38" s="200"/>
      <c r="E38" s="137"/>
      <c r="G38" s="42"/>
      <c r="H38" s="42"/>
      <c r="I38" s="42"/>
      <c r="J38" s="42"/>
      <c r="K38" s="42"/>
      <c r="L38" s="42"/>
      <c r="M38" s="42"/>
    </row>
    <row r="39">
      <c r="A39" s="197"/>
      <c r="B39" s="198"/>
      <c r="C39" s="199"/>
      <c r="D39" s="200"/>
      <c r="E39" s="137"/>
      <c r="G39" s="42"/>
      <c r="H39" s="42"/>
      <c r="I39" s="42"/>
      <c r="J39" s="42"/>
      <c r="K39" s="42"/>
      <c r="L39" s="42"/>
      <c r="M39" s="42"/>
    </row>
    <row r="40">
      <c r="A40" s="197"/>
      <c r="B40" s="198"/>
      <c r="C40" s="199"/>
      <c r="D40" s="200"/>
      <c r="E40" s="164"/>
      <c r="G40" s="42"/>
      <c r="H40" s="42"/>
      <c r="I40" s="42"/>
      <c r="J40" s="42"/>
      <c r="K40" s="42"/>
      <c r="L40" s="42"/>
      <c r="M40" s="42"/>
    </row>
    <row r="41">
      <c r="A41" s="197"/>
      <c r="B41" s="198"/>
      <c r="C41" s="199"/>
      <c r="D41" s="200"/>
      <c r="E41" s="137"/>
      <c r="G41" s="42"/>
      <c r="H41" s="42"/>
      <c r="I41" s="42"/>
      <c r="J41" s="42"/>
      <c r="K41" s="42"/>
      <c r="L41" s="42"/>
      <c r="M41" s="42"/>
    </row>
    <row r="42">
      <c r="A42" s="197"/>
      <c r="B42" s="198"/>
      <c r="C42" s="199"/>
      <c r="D42" s="200"/>
      <c r="E42" s="137"/>
      <c r="G42" s="42"/>
      <c r="H42" s="42"/>
      <c r="I42" s="42"/>
      <c r="J42" s="42"/>
      <c r="K42" s="42"/>
      <c r="L42" s="42"/>
      <c r="M42" s="42"/>
    </row>
    <row r="43">
      <c r="A43" s="197"/>
      <c r="B43" s="198"/>
      <c r="C43" s="199"/>
      <c r="D43" s="200"/>
      <c r="E43" s="137"/>
      <c r="G43" s="42"/>
      <c r="H43" s="42"/>
      <c r="I43" s="42"/>
      <c r="J43" s="42"/>
      <c r="K43" s="42"/>
      <c r="L43" s="42"/>
      <c r="M43" s="42"/>
    </row>
    <row r="44">
      <c r="A44" s="197"/>
      <c r="B44" s="198"/>
      <c r="C44" s="199"/>
      <c r="D44" s="200"/>
      <c r="E44" s="137"/>
      <c r="G44" s="42"/>
      <c r="H44" s="42"/>
      <c r="I44" s="42"/>
      <c r="J44" s="42"/>
      <c r="K44" s="42"/>
      <c r="L44" s="42"/>
      <c r="M44" s="42"/>
    </row>
    <row r="45">
      <c r="A45" s="197"/>
      <c r="B45" s="198"/>
      <c r="C45" s="199"/>
      <c r="D45" s="200"/>
      <c r="E45" s="137"/>
      <c r="G45" s="42"/>
      <c r="H45" s="42"/>
      <c r="I45" s="42"/>
      <c r="J45" s="42"/>
      <c r="K45" s="42"/>
      <c r="L45" s="42"/>
      <c r="M45" s="42"/>
    </row>
    <row r="46">
      <c r="A46" s="206"/>
      <c r="B46" s="198"/>
      <c r="C46" s="199"/>
      <c r="D46" s="200"/>
      <c r="E46" s="107"/>
      <c r="G46" s="42"/>
      <c r="H46" s="42"/>
      <c r="I46" s="42"/>
      <c r="J46" s="42"/>
      <c r="K46" s="42"/>
      <c r="L46" s="42"/>
      <c r="M46" s="42"/>
    </row>
    <row r="47">
      <c r="A47" s="197"/>
      <c r="B47" s="198"/>
      <c r="C47" s="199"/>
      <c r="D47" s="200"/>
      <c r="E47" s="107"/>
      <c r="G47" s="42"/>
      <c r="H47" s="42"/>
      <c r="I47" s="42"/>
      <c r="J47" s="42"/>
      <c r="K47" s="42"/>
      <c r="L47" s="42"/>
      <c r="M47" s="42"/>
    </row>
    <row r="48">
      <c r="A48" s="207"/>
      <c r="B48" s="198"/>
      <c r="C48" s="208"/>
      <c r="D48" s="198"/>
      <c r="E48" s="107"/>
      <c r="G48" s="42"/>
      <c r="H48" s="42"/>
      <c r="I48" s="42"/>
      <c r="J48" s="42"/>
      <c r="K48" s="42"/>
      <c r="L48" s="42"/>
      <c r="M48" s="42"/>
    </row>
    <row r="49">
      <c r="A49" s="207"/>
      <c r="B49" s="198"/>
      <c r="C49" s="208"/>
      <c r="D49" s="198"/>
      <c r="E49" s="107"/>
      <c r="G49" s="42"/>
      <c r="H49" s="42"/>
      <c r="I49" s="42"/>
      <c r="J49" s="42"/>
      <c r="K49" s="42"/>
      <c r="L49" s="42"/>
      <c r="M49" s="42"/>
    </row>
    <row r="50">
      <c r="A50" s="197"/>
      <c r="B50" s="198"/>
      <c r="C50" s="199"/>
      <c r="D50" s="200"/>
      <c r="E50" s="107"/>
      <c r="G50" s="42"/>
      <c r="H50" s="42"/>
      <c r="I50" s="42"/>
      <c r="J50" s="42"/>
      <c r="K50" s="42"/>
      <c r="L50" s="42"/>
      <c r="M50" s="42"/>
    </row>
    <row r="51">
      <c r="A51" s="207"/>
      <c r="B51" s="198"/>
      <c r="C51" s="208"/>
      <c r="D51" s="198"/>
      <c r="E51" s="107"/>
      <c r="G51" s="42"/>
      <c r="H51" s="42"/>
      <c r="I51" s="42"/>
      <c r="J51" s="42"/>
      <c r="K51" s="42"/>
      <c r="L51" s="42"/>
      <c r="M51" s="42"/>
    </row>
    <row r="52">
      <c r="A52" s="197"/>
      <c r="B52" s="198"/>
      <c r="C52" s="199"/>
      <c r="D52" s="200"/>
      <c r="E52" s="107"/>
      <c r="G52" s="42"/>
      <c r="H52" s="42"/>
      <c r="I52" s="42"/>
      <c r="J52" s="42"/>
      <c r="K52" s="42"/>
      <c r="L52" s="42"/>
      <c r="M52" s="42"/>
    </row>
    <row r="53">
      <c r="A53" s="197"/>
      <c r="B53" s="198"/>
      <c r="C53" s="199"/>
      <c r="D53" s="200"/>
      <c r="E53" s="107"/>
      <c r="G53" s="42"/>
      <c r="H53" s="42"/>
      <c r="I53" s="42"/>
      <c r="J53" s="42"/>
      <c r="K53" s="42"/>
      <c r="L53" s="42"/>
      <c r="M53" s="42"/>
    </row>
    <row r="54">
      <c r="A54" s="207"/>
      <c r="B54" s="198"/>
      <c r="C54" s="208"/>
      <c r="D54" s="198"/>
      <c r="E54" s="107"/>
      <c r="G54" s="42"/>
      <c r="H54" s="42"/>
      <c r="I54" s="42"/>
      <c r="J54" s="42"/>
      <c r="K54" s="42"/>
      <c r="L54" s="42"/>
      <c r="M54" s="42"/>
    </row>
    <row r="55">
      <c r="A55" s="207"/>
      <c r="B55" s="198"/>
      <c r="C55" s="208"/>
      <c r="D55" s="198"/>
      <c r="E55" s="107"/>
      <c r="G55" s="42"/>
      <c r="H55" s="42"/>
      <c r="I55" s="42"/>
      <c r="J55" s="42"/>
      <c r="K55" s="42"/>
      <c r="L55" s="42"/>
      <c r="M55" s="42"/>
    </row>
    <row r="56">
      <c r="A56" s="197"/>
      <c r="B56" s="198"/>
      <c r="C56" s="199"/>
      <c r="D56" s="200"/>
      <c r="E56" s="107"/>
      <c r="G56" s="42"/>
      <c r="H56" s="42"/>
      <c r="I56" s="42"/>
      <c r="J56" s="42"/>
      <c r="K56" s="42"/>
      <c r="L56" s="42"/>
      <c r="M56" s="42"/>
    </row>
    <row r="57">
      <c r="A57" s="197"/>
      <c r="B57" s="198"/>
      <c r="C57" s="199"/>
      <c r="D57" s="200"/>
      <c r="E57" s="107"/>
      <c r="G57" s="42"/>
      <c r="H57" s="42"/>
      <c r="I57" s="42"/>
      <c r="J57" s="42"/>
      <c r="K57" s="42"/>
      <c r="L57" s="42"/>
      <c r="M57" s="42"/>
    </row>
    <row r="58">
      <c r="A58" s="197"/>
      <c r="B58" s="198"/>
      <c r="C58" s="199"/>
      <c r="D58" s="200"/>
      <c r="E58" s="107"/>
      <c r="G58" s="42"/>
      <c r="H58" s="42"/>
      <c r="I58" s="42"/>
      <c r="J58" s="42"/>
      <c r="K58" s="42"/>
      <c r="L58" s="42"/>
      <c r="M58" s="42"/>
    </row>
    <row r="59">
      <c r="A59" s="197"/>
      <c r="B59" s="198"/>
      <c r="C59" s="199"/>
      <c r="D59" s="200"/>
      <c r="E59" s="107"/>
      <c r="G59" s="42"/>
      <c r="H59" s="42"/>
      <c r="I59" s="42"/>
      <c r="J59" s="42"/>
      <c r="K59" s="42"/>
      <c r="L59" s="42"/>
      <c r="M59" s="42"/>
    </row>
    <row r="60">
      <c r="A60" s="197"/>
      <c r="B60" s="198"/>
      <c r="C60" s="199"/>
      <c r="D60" s="198"/>
      <c r="E60" s="107"/>
      <c r="G60" s="42"/>
      <c r="H60" s="42"/>
      <c r="I60" s="42"/>
      <c r="J60" s="42"/>
      <c r="K60" s="42"/>
      <c r="L60" s="42"/>
      <c r="M60" s="42"/>
    </row>
    <row r="61">
      <c r="A61" s="197"/>
      <c r="B61" s="198"/>
      <c r="C61" s="199"/>
      <c r="D61" s="209"/>
      <c r="E61" s="107"/>
      <c r="G61" s="42"/>
      <c r="H61" s="42"/>
      <c r="I61" s="42"/>
      <c r="J61" s="42"/>
      <c r="K61" s="42"/>
      <c r="L61" s="42"/>
      <c r="M61" s="42"/>
    </row>
    <row r="62">
      <c r="A62" s="197"/>
      <c r="B62" s="198"/>
      <c r="C62" s="199"/>
      <c r="D62" s="200"/>
      <c r="E62" s="107"/>
      <c r="G62" s="42"/>
      <c r="H62" s="42"/>
      <c r="I62" s="42"/>
      <c r="J62" s="42"/>
      <c r="K62" s="42"/>
      <c r="L62" s="42"/>
      <c r="M62" s="42"/>
    </row>
    <row r="63">
      <c r="A63" s="197"/>
      <c r="B63" s="198"/>
      <c r="C63" s="199"/>
      <c r="D63" s="200"/>
      <c r="E63" s="107"/>
      <c r="G63" s="42"/>
      <c r="H63" s="42"/>
      <c r="I63" s="42"/>
      <c r="J63" s="42"/>
      <c r="K63" s="42"/>
      <c r="L63" s="42"/>
      <c r="M63" s="42"/>
    </row>
    <row r="64">
      <c r="A64" s="197"/>
      <c r="B64" s="198"/>
      <c r="C64" s="199"/>
      <c r="D64" s="200"/>
      <c r="E64" s="107"/>
      <c r="G64" s="42"/>
      <c r="H64" s="42"/>
      <c r="I64" s="42"/>
      <c r="J64" s="42"/>
      <c r="K64" s="42"/>
      <c r="L64" s="42"/>
      <c r="M64" s="42"/>
    </row>
    <row r="65">
      <c r="A65" s="197"/>
      <c r="B65" s="198"/>
      <c r="C65" s="199"/>
      <c r="D65" s="200"/>
      <c r="E65" s="107"/>
      <c r="G65" s="42"/>
      <c r="H65" s="42"/>
      <c r="I65" s="42"/>
      <c r="J65" s="42"/>
      <c r="K65" s="42"/>
      <c r="L65" s="42"/>
      <c r="M65" s="42"/>
    </row>
    <row r="66">
      <c r="A66" s="197"/>
      <c r="B66" s="198"/>
      <c r="C66" s="199"/>
      <c r="D66" s="200"/>
      <c r="E66" s="107"/>
      <c r="G66" s="42"/>
      <c r="H66" s="42"/>
      <c r="I66" s="42"/>
      <c r="J66" s="42"/>
      <c r="K66" s="42"/>
      <c r="L66" s="42"/>
      <c r="M66" s="42"/>
    </row>
    <row r="67">
      <c r="A67" s="197"/>
      <c r="B67" s="198"/>
      <c r="C67" s="199"/>
      <c r="D67" s="200"/>
      <c r="E67" s="107"/>
      <c r="G67" s="42"/>
      <c r="H67" s="42"/>
      <c r="I67" s="42"/>
      <c r="J67" s="42"/>
      <c r="K67" s="42"/>
      <c r="L67" s="42"/>
      <c r="M67" s="42"/>
    </row>
    <row r="68">
      <c r="A68" s="197"/>
      <c r="B68" s="198"/>
      <c r="C68" s="199"/>
      <c r="D68" s="200"/>
      <c r="E68" s="107"/>
      <c r="G68" s="42"/>
      <c r="H68" s="42"/>
      <c r="I68" s="42"/>
      <c r="J68" s="42"/>
      <c r="K68" s="42"/>
      <c r="L68" s="42"/>
      <c r="M68" s="42"/>
    </row>
    <row r="69">
      <c r="A69" s="197"/>
      <c r="B69" s="198"/>
      <c r="C69" s="199"/>
      <c r="D69" s="200"/>
      <c r="E69" s="107"/>
      <c r="G69" s="42"/>
      <c r="H69" s="42"/>
      <c r="I69" s="42"/>
      <c r="J69" s="42"/>
      <c r="K69" s="42"/>
      <c r="L69" s="42"/>
      <c r="M69" s="42"/>
    </row>
    <row r="70">
      <c r="A70" s="197"/>
      <c r="B70" s="198"/>
      <c r="C70" s="199"/>
      <c r="D70" s="200"/>
      <c r="E70" s="107"/>
      <c r="G70" s="42"/>
      <c r="H70" s="42"/>
      <c r="I70" s="42"/>
      <c r="J70" s="42"/>
      <c r="K70" s="42"/>
      <c r="L70" s="42"/>
      <c r="M70" s="42"/>
    </row>
    <row r="71">
      <c r="A71" s="197"/>
      <c r="B71" s="198"/>
      <c r="C71" s="199"/>
      <c r="D71" s="200"/>
      <c r="E71" s="107"/>
      <c r="G71" s="42"/>
      <c r="H71" s="42"/>
      <c r="I71" s="42"/>
      <c r="J71" s="42"/>
      <c r="K71" s="42"/>
      <c r="L71" s="42"/>
      <c r="M71" s="42"/>
    </row>
    <row r="72">
      <c r="A72" s="197"/>
      <c r="B72" s="198"/>
      <c r="C72" s="199"/>
      <c r="D72" s="200"/>
      <c r="E72" s="107"/>
      <c r="G72" s="42"/>
      <c r="H72" s="42"/>
      <c r="I72" s="42"/>
      <c r="J72" s="42"/>
      <c r="K72" s="42"/>
      <c r="L72" s="42"/>
      <c r="M72" s="42"/>
    </row>
    <row r="73">
      <c r="A73" s="197"/>
      <c r="B73" s="198"/>
      <c r="C73" s="199"/>
      <c r="D73" s="200"/>
      <c r="E73" s="107"/>
      <c r="G73" s="42"/>
      <c r="H73" s="42"/>
      <c r="I73" s="42"/>
      <c r="J73" s="42"/>
      <c r="K73" s="42"/>
      <c r="L73" s="42"/>
      <c r="M73" s="42"/>
    </row>
    <row r="74">
      <c r="A74" s="197"/>
      <c r="B74" s="198"/>
      <c r="C74" s="199"/>
      <c r="D74" s="200"/>
      <c r="E74" s="107"/>
      <c r="G74" s="42"/>
      <c r="H74" s="42"/>
      <c r="I74" s="42"/>
      <c r="J74" s="42"/>
      <c r="K74" s="42"/>
      <c r="L74" s="42"/>
      <c r="M74" s="42"/>
    </row>
    <row r="75">
      <c r="A75" s="197"/>
      <c r="B75" s="198"/>
      <c r="C75" s="199"/>
      <c r="D75" s="200"/>
      <c r="E75" s="107"/>
      <c r="G75" s="42"/>
      <c r="H75" s="42"/>
      <c r="I75" s="42"/>
      <c r="J75" s="42"/>
      <c r="K75" s="42"/>
      <c r="L75" s="42"/>
      <c r="M75" s="42"/>
    </row>
    <row r="76">
      <c r="A76" s="197"/>
      <c r="B76" s="198"/>
      <c r="C76" s="199"/>
      <c r="D76" s="200"/>
      <c r="E76" s="107"/>
      <c r="G76" s="42"/>
      <c r="H76" s="42"/>
      <c r="I76" s="42"/>
      <c r="J76" s="42"/>
      <c r="K76" s="42"/>
      <c r="L76" s="42"/>
      <c r="M76" s="42"/>
    </row>
    <row r="77">
      <c r="A77" s="197"/>
      <c r="B77" s="198"/>
      <c r="C77" s="199"/>
      <c r="D77" s="200"/>
      <c r="E77" s="107"/>
      <c r="G77" s="42"/>
      <c r="H77" s="42"/>
      <c r="I77" s="42"/>
      <c r="J77" s="42"/>
      <c r="K77" s="42"/>
      <c r="L77" s="42"/>
      <c r="M77" s="42"/>
    </row>
    <row r="78">
      <c r="A78" s="197"/>
      <c r="B78" s="198"/>
      <c r="C78" s="199"/>
      <c r="D78" s="200"/>
      <c r="E78" s="107"/>
      <c r="G78" s="42"/>
      <c r="H78" s="42"/>
      <c r="I78" s="42"/>
      <c r="J78" s="42"/>
      <c r="K78" s="42"/>
      <c r="L78" s="42"/>
      <c r="M78" s="42"/>
    </row>
    <row r="79">
      <c r="A79" s="197"/>
      <c r="B79" s="198"/>
      <c r="C79" s="199"/>
      <c r="D79" s="200"/>
      <c r="E79" s="107"/>
      <c r="G79" s="42"/>
      <c r="H79" s="42"/>
      <c r="I79" s="42"/>
      <c r="J79" s="42"/>
      <c r="K79" s="42"/>
      <c r="L79" s="42"/>
      <c r="M79" s="42"/>
    </row>
    <row r="80">
      <c r="A80" s="197"/>
      <c r="B80" s="198"/>
      <c r="C80" s="199"/>
      <c r="D80" s="200"/>
      <c r="E80" s="107"/>
      <c r="G80" s="42"/>
      <c r="H80" s="42"/>
      <c r="I80" s="42"/>
      <c r="J80" s="42"/>
      <c r="K80" s="42"/>
      <c r="L80" s="42"/>
      <c r="M80" s="42"/>
    </row>
    <row r="81">
      <c r="A81" s="197"/>
      <c r="B81" s="198"/>
      <c r="C81" s="199"/>
      <c r="D81" s="200"/>
      <c r="E81" s="107"/>
      <c r="G81" s="42"/>
      <c r="H81" s="42"/>
      <c r="I81" s="42"/>
      <c r="J81" s="42"/>
      <c r="K81" s="42"/>
      <c r="L81" s="42"/>
      <c r="M81" s="42"/>
    </row>
    <row r="82">
      <c r="A82" s="197"/>
      <c r="B82" s="198"/>
      <c r="C82" s="199"/>
      <c r="D82" s="200"/>
      <c r="E82" s="107"/>
      <c r="G82" s="42"/>
      <c r="H82" s="42"/>
      <c r="I82" s="42"/>
      <c r="J82" s="42"/>
      <c r="K82" s="42"/>
      <c r="L82" s="42"/>
      <c r="M82" s="42"/>
    </row>
    <row r="83">
      <c r="A83" s="197"/>
      <c r="B83" s="198"/>
      <c r="C83" s="199"/>
      <c r="D83" s="200"/>
      <c r="E83" s="107"/>
      <c r="G83" s="42"/>
      <c r="H83" s="42"/>
      <c r="I83" s="42"/>
      <c r="J83" s="42"/>
      <c r="K83" s="42"/>
      <c r="L83" s="42"/>
      <c r="M83" s="42"/>
    </row>
    <row r="84">
      <c r="A84" s="197"/>
      <c r="B84" s="198"/>
      <c r="C84" s="199"/>
      <c r="D84" s="200"/>
      <c r="E84" s="107"/>
      <c r="G84" s="42"/>
      <c r="H84" s="42"/>
      <c r="I84" s="42"/>
      <c r="J84" s="42"/>
      <c r="K84" s="42"/>
      <c r="L84" s="42"/>
      <c r="M84" s="42"/>
    </row>
    <row r="85">
      <c r="A85" s="197"/>
      <c r="B85" s="198"/>
      <c r="C85" s="199"/>
      <c r="D85" s="200"/>
      <c r="E85" s="107"/>
      <c r="G85" s="42"/>
      <c r="H85" s="42"/>
      <c r="I85" s="42"/>
      <c r="J85" s="42"/>
      <c r="K85" s="42"/>
      <c r="L85" s="42"/>
      <c r="M85" s="42"/>
    </row>
    <row r="86">
      <c r="A86" s="197"/>
      <c r="B86" s="198"/>
      <c r="C86" s="199"/>
      <c r="D86" s="200"/>
      <c r="E86" s="107"/>
      <c r="G86" s="42"/>
      <c r="H86" s="42"/>
      <c r="I86" s="42"/>
      <c r="J86" s="42"/>
      <c r="K86" s="42"/>
      <c r="L86" s="42"/>
      <c r="M86" s="42"/>
    </row>
    <row r="87">
      <c r="A87" s="197"/>
      <c r="B87" s="198"/>
      <c r="C87" s="199"/>
      <c r="D87" s="200"/>
      <c r="E87" s="107"/>
      <c r="G87" s="42"/>
      <c r="H87" s="42"/>
      <c r="I87" s="42"/>
      <c r="J87" s="42"/>
      <c r="K87" s="42"/>
      <c r="L87" s="42"/>
      <c r="M87" s="42"/>
    </row>
    <row r="88" ht="18.75" customHeight="1">
      <c r="A88" s="197"/>
      <c r="B88" s="198"/>
      <c r="C88" s="199"/>
      <c r="D88" s="200"/>
      <c r="E88" s="107"/>
      <c r="G88" s="42"/>
      <c r="H88" s="42"/>
      <c r="I88" s="42"/>
      <c r="J88" s="42"/>
      <c r="K88" s="42"/>
      <c r="L88" s="42"/>
      <c r="M88" s="42"/>
    </row>
    <row r="89">
      <c r="A89" s="197"/>
      <c r="B89" s="198"/>
      <c r="C89" s="199"/>
      <c r="D89" s="200"/>
      <c r="E89" s="107"/>
      <c r="G89" s="42"/>
      <c r="H89" s="42"/>
      <c r="I89" s="42"/>
      <c r="J89" s="42"/>
      <c r="K89" s="42"/>
      <c r="L89" s="42"/>
      <c r="M89" s="42"/>
    </row>
    <row r="90">
      <c r="A90" s="197"/>
      <c r="B90" s="198"/>
      <c r="C90" s="199"/>
      <c r="D90" s="200"/>
      <c r="E90" s="107"/>
      <c r="G90" s="42"/>
      <c r="H90" s="42"/>
      <c r="I90" s="42"/>
      <c r="J90" s="42"/>
      <c r="K90" s="42"/>
      <c r="L90" s="42"/>
      <c r="M90" s="42"/>
    </row>
    <row r="91">
      <c r="A91" s="197"/>
      <c r="B91" s="198"/>
      <c r="C91" s="199"/>
      <c r="D91" s="200"/>
      <c r="E91" s="107"/>
      <c r="G91" s="42"/>
      <c r="H91" s="42"/>
      <c r="I91" s="42"/>
      <c r="J91" s="42"/>
      <c r="K91" s="42"/>
      <c r="L91" s="42"/>
      <c r="M91" s="42"/>
    </row>
    <row r="92">
      <c r="A92" s="197"/>
      <c r="B92" s="198"/>
      <c r="C92" s="199"/>
      <c r="D92" s="200"/>
      <c r="E92" s="107"/>
      <c r="G92" s="42"/>
      <c r="H92" s="42"/>
      <c r="I92" s="42"/>
      <c r="J92" s="42"/>
      <c r="K92" s="42"/>
      <c r="L92" s="42"/>
      <c r="M92" s="42"/>
    </row>
    <row r="93">
      <c r="A93" s="197"/>
      <c r="B93" s="198"/>
      <c r="C93" s="199"/>
      <c r="D93" s="200"/>
      <c r="E93" s="107"/>
      <c r="G93" s="42"/>
      <c r="H93" s="42"/>
      <c r="I93" s="42"/>
      <c r="J93" s="42"/>
      <c r="K93" s="42"/>
      <c r="L93" s="42"/>
      <c r="M93" s="42"/>
    </row>
    <row r="94">
      <c r="A94" s="197"/>
      <c r="B94" s="198"/>
      <c r="C94" s="199"/>
      <c r="D94" s="200"/>
      <c r="E94" s="107"/>
      <c r="G94" s="42"/>
      <c r="H94" s="42"/>
      <c r="I94" s="42"/>
      <c r="J94" s="42"/>
      <c r="K94" s="42"/>
      <c r="L94" s="42"/>
      <c r="M94" s="42"/>
    </row>
    <row r="95">
      <c r="A95" s="197"/>
      <c r="B95" s="198"/>
      <c r="C95" s="199"/>
      <c r="D95" s="200"/>
      <c r="E95" s="107"/>
      <c r="G95" s="42"/>
      <c r="H95" s="42"/>
      <c r="I95" s="42"/>
      <c r="J95" s="42"/>
      <c r="K95" s="42"/>
      <c r="L95" s="42"/>
      <c r="M95" s="42"/>
    </row>
    <row r="96">
      <c r="A96" s="197"/>
      <c r="B96" s="198"/>
      <c r="C96" s="199"/>
      <c r="D96" s="200"/>
      <c r="E96" s="107"/>
      <c r="G96" s="42"/>
      <c r="H96" s="42"/>
      <c r="I96" s="42"/>
      <c r="J96" s="42"/>
      <c r="K96" s="42"/>
      <c r="L96" s="42"/>
      <c r="M96" s="42"/>
    </row>
    <row r="97">
      <c r="A97" s="197"/>
      <c r="B97" s="198"/>
      <c r="C97" s="199"/>
      <c r="D97" s="200"/>
      <c r="E97" s="107"/>
      <c r="G97" s="42"/>
      <c r="H97" s="42"/>
      <c r="I97" s="42"/>
      <c r="J97" s="42"/>
      <c r="K97" s="42"/>
      <c r="L97" s="42"/>
      <c r="M97" s="42"/>
    </row>
    <row r="98">
      <c r="A98" s="197"/>
      <c r="B98" s="198"/>
      <c r="C98" s="199"/>
      <c r="D98" s="200"/>
      <c r="E98" s="107"/>
      <c r="G98" s="42"/>
      <c r="H98" s="42"/>
      <c r="I98" s="42"/>
      <c r="J98" s="42"/>
      <c r="K98" s="42"/>
      <c r="L98" s="42"/>
      <c r="M98" s="42"/>
    </row>
    <row r="99">
      <c r="A99" s="197"/>
      <c r="B99" s="198"/>
      <c r="C99" s="199"/>
      <c r="D99" s="200"/>
      <c r="E99" s="107"/>
      <c r="G99" s="42"/>
      <c r="H99" s="42"/>
      <c r="I99" s="42"/>
      <c r="J99" s="42"/>
      <c r="K99" s="42"/>
      <c r="L99" s="42"/>
      <c r="M99" s="42"/>
    </row>
    <row r="100">
      <c r="A100" s="197"/>
      <c r="B100" s="198"/>
      <c r="C100" s="199"/>
      <c r="D100" s="200"/>
      <c r="E100" s="107"/>
      <c r="G100" s="42"/>
      <c r="H100" s="42"/>
      <c r="I100" s="42"/>
      <c r="J100" s="42"/>
      <c r="K100" s="42"/>
      <c r="L100" s="42"/>
      <c r="M100" s="42"/>
    </row>
    <row r="101">
      <c r="A101" s="197"/>
      <c r="B101" s="198"/>
      <c r="C101" s="199"/>
      <c r="D101" s="200"/>
      <c r="E101" s="107"/>
      <c r="G101" s="42"/>
      <c r="H101" s="42"/>
      <c r="I101" s="42"/>
      <c r="J101" s="42"/>
      <c r="K101" s="42"/>
      <c r="L101" s="42"/>
      <c r="M101" s="42"/>
    </row>
    <row r="102">
      <c r="A102" s="197"/>
      <c r="B102" s="198"/>
      <c r="C102" s="199"/>
      <c r="D102" s="200"/>
      <c r="E102" s="107"/>
      <c r="G102" s="42"/>
      <c r="H102" s="42"/>
      <c r="I102" s="42"/>
      <c r="J102" s="42"/>
      <c r="K102" s="42"/>
      <c r="L102" s="42"/>
      <c r="M102" s="42"/>
    </row>
    <row r="103">
      <c r="A103" s="197"/>
      <c r="B103" s="198"/>
      <c r="C103" s="199"/>
      <c r="D103" s="200"/>
      <c r="E103" s="107"/>
      <c r="G103" s="42"/>
      <c r="H103" s="42"/>
      <c r="I103" s="42"/>
      <c r="J103" s="42"/>
      <c r="K103" s="42"/>
      <c r="L103" s="42"/>
      <c r="M103" s="42"/>
    </row>
    <row r="104">
      <c r="A104" s="197"/>
      <c r="B104" s="198"/>
      <c r="C104" s="199"/>
      <c r="D104" s="200"/>
      <c r="E104" s="107"/>
      <c r="G104" s="42"/>
      <c r="H104" s="42"/>
      <c r="I104" s="42"/>
      <c r="J104" s="42"/>
      <c r="K104" s="42"/>
      <c r="L104" s="42"/>
      <c r="M104" s="42"/>
    </row>
    <row r="105">
      <c r="A105" s="197"/>
      <c r="B105" s="198"/>
      <c r="C105" s="199"/>
      <c r="D105" s="200"/>
      <c r="E105" s="107"/>
      <c r="G105" s="42"/>
      <c r="H105" s="42"/>
      <c r="I105" s="42"/>
      <c r="J105" s="42"/>
      <c r="K105" s="42"/>
      <c r="L105" s="42"/>
      <c r="M105" s="42"/>
    </row>
    <row r="106">
      <c r="A106" s="197"/>
      <c r="B106" s="198"/>
      <c r="C106" s="199"/>
      <c r="D106" s="200"/>
      <c r="E106" s="107"/>
      <c r="G106" s="42"/>
      <c r="H106" s="42"/>
      <c r="I106" s="42"/>
      <c r="J106" s="42"/>
      <c r="K106" s="42"/>
      <c r="L106" s="42"/>
      <c r="M106" s="42"/>
    </row>
    <row r="107">
      <c r="A107" s="212"/>
      <c r="B107" s="184"/>
      <c r="C107" s="199"/>
      <c r="D107" s="200"/>
      <c r="E107" s="107"/>
      <c r="G107" s="42"/>
      <c r="H107" s="42"/>
      <c r="I107" s="42"/>
      <c r="J107" s="42"/>
      <c r="K107" s="42"/>
      <c r="L107" s="42"/>
      <c r="M107" s="42"/>
    </row>
    <row r="108">
      <c r="A108" s="215"/>
      <c r="B108" s="184"/>
      <c r="C108" s="208"/>
      <c r="D108" s="198"/>
      <c r="E108" s="132"/>
      <c r="G108" s="42"/>
      <c r="H108" s="42"/>
      <c r="I108" s="42"/>
      <c r="J108" s="42"/>
      <c r="K108" s="42"/>
      <c r="L108" s="42"/>
      <c r="M108" s="42"/>
    </row>
    <row r="109">
      <c r="A109" s="203"/>
      <c r="B109" s="203"/>
      <c r="C109" s="203"/>
      <c r="D109" s="203"/>
      <c r="E109" s="107"/>
      <c r="G109" s="42"/>
      <c r="H109" s="42"/>
      <c r="I109" s="42"/>
      <c r="J109" s="42"/>
      <c r="K109" s="42"/>
      <c r="L109" s="42"/>
      <c r="M109" s="42"/>
    </row>
    <row r="110">
      <c r="A110" s="203"/>
      <c r="B110" s="203"/>
      <c r="C110" s="203"/>
      <c r="D110" s="203"/>
      <c r="E110" s="107"/>
      <c r="G110" s="42"/>
      <c r="H110" s="42"/>
      <c r="I110" s="42"/>
      <c r="J110" s="42"/>
      <c r="K110" s="42"/>
      <c r="L110" s="42"/>
      <c r="M110" s="42"/>
    </row>
    <row r="111">
      <c r="A111" s="203"/>
      <c r="B111" s="203"/>
      <c r="C111" s="203"/>
      <c r="D111" s="203"/>
      <c r="E111" s="132"/>
      <c r="G111" s="42"/>
      <c r="H111" s="42"/>
      <c r="I111" s="42"/>
      <c r="J111" s="42"/>
      <c r="K111" s="42"/>
      <c r="L111" s="42"/>
      <c r="M111" s="42"/>
    </row>
    <row r="112">
      <c r="A112" s="203"/>
      <c r="B112" s="203"/>
      <c r="C112" s="203"/>
      <c r="D112" s="203"/>
      <c r="E112" s="107">
        <v>-1.1</v>
      </c>
      <c r="G112" s="42"/>
      <c r="H112" s="42"/>
      <c r="I112" s="42"/>
      <c r="J112" s="42"/>
      <c r="K112" s="42"/>
      <c r="L112" s="42"/>
      <c r="M112" s="42"/>
    </row>
    <row r="113">
      <c r="A113" s="203"/>
      <c r="B113" s="203"/>
      <c r="C113" s="203"/>
      <c r="D113" s="203"/>
      <c r="E113" s="107">
        <v>-30.0</v>
      </c>
      <c r="G113" s="42"/>
      <c r="H113" s="42"/>
      <c r="I113" s="42"/>
      <c r="J113" s="42"/>
      <c r="K113" s="42"/>
      <c r="L113" s="42"/>
      <c r="M113" s="42"/>
    </row>
    <row r="114">
      <c r="A114" s="181"/>
      <c r="B114" s="178"/>
      <c r="C114" s="182"/>
      <c r="D114" s="183"/>
      <c r="E114" s="107">
        <v>-10.69</v>
      </c>
      <c r="G114" s="42"/>
      <c r="H114" s="42"/>
      <c r="I114" s="42"/>
      <c r="J114" s="42"/>
      <c r="K114" s="42"/>
      <c r="L114" s="42"/>
      <c r="M114" s="42"/>
    </row>
    <row r="115">
      <c r="A115" s="177"/>
      <c r="B115" s="184"/>
      <c r="C115" s="180"/>
      <c r="D115" s="180"/>
      <c r="E115" s="107">
        <v>-81.99</v>
      </c>
      <c r="G115" s="99"/>
      <c r="H115" s="42"/>
      <c r="I115" s="42"/>
      <c r="J115" s="42"/>
      <c r="K115" s="42"/>
      <c r="L115" s="42"/>
      <c r="M115" s="42"/>
    </row>
    <row r="116">
      <c r="A116" s="181"/>
      <c r="B116" s="178"/>
      <c r="C116" s="182"/>
      <c r="D116" s="183"/>
      <c r="E116" s="107">
        <v>-91.44</v>
      </c>
      <c r="G116" s="42"/>
      <c r="H116" s="42"/>
      <c r="I116" s="42"/>
      <c r="J116" s="42"/>
      <c r="K116" s="42"/>
      <c r="L116" s="42"/>
      <c r="M116" s="42"/>
    </row>
    <row r="117">
      <c r="A117" s="181"/>
      <c r="B117" s="178"/>
      <c r="C117" s="182"/>
      <c r="D117" s="183"/>
      <c r="E117" s="107">
        <v>-79.99</v>
      </c>
      <c r="G117" s="42"/>
      <c r="H117" s="42"/>
      <c r="I117" s="42"/>
      <c r="J117" s="42"/>
      <c r="K117" s="42"/>
      <c r="L117" s="42"/>
      <c r="M117" s="42"/>
    </row>
    <row r="118">
      <c r="A118" s="203"/>
      <c r="B118" s="203"/>
      <c r="C118" s="203"/>
      <c r="D118" s="203"/>
      <c r="E118" s="107">
        <v>-120.75</v>
      </c>
      <c r="G118" s="42"/>
      <c r="H118" s="42"/>
      <c r="I118" s="42"/>
      <c r="J118" s="42"/>
      <c r="K118" s="42"/>
      <c r="L118" s="42"/>
      <c r="M118" s="42"/>
    </row>
    <row r="119">
      <c r="A119" s="203"/>
      <c r="B119" s="203"/>
      <c r="C119" s="203"/>
      <c r="D119" s="203"/>
      <c r="E119" s="107">
        <v>-1.75</v>
      </c>
      <c r="G119" s="42"/>
      <c r="H119" s="42"/>
      <c r="I119" s="42"/>
      <c r="J119" s="42"/>
      <c r="K119" s="42"/>
      <c r="L119" s="42"/>
      <c r="M119" s="42"/>
    </row>
    <row r="120">
      <c r="A120" s="203"/>
      <c r="B120" s="203"/>
      <c r="C120" s="203"/>
      <c r="D120" s="203"/>
      <c r="E120" s="107">
        <v>-1.25</v>
      </c>
      <c r="G120" s="42"/>
      <c r="H120" s="42"/>
      <c r="I120" s="42"/>
      <c r="J120" s="42"/>
      <c r="K120" s="42"/>
      <c r="L120" s="42"/>
      <c r="M120" s="42"/>
    </row>
    <row r="121">
      <c r="A121" s="203"/>
      <c r="B121" s="203"/>
      <c r="C121" s="203"/>
      <c r="D121" s="203"/>
      <c r="E121" s="107">
        <v>-1.25</v>
      </c>
      <c r="G121" s="42"/>
      <c r="H121" s="42"/>
      <c r="I121" s="42"/>
      <c r="J121" s="42"/>
      <c r="K121" s="42"/>
      <c r="L121" s="42"/>
      <c r="M121" s="42"/>
    </row>
    <row r="122">
      <c r="A122" s="181"/>
      <c r="B122" s="178"/>
      <c r="C122" s="182"/>
      <c r="D122" s="183"/>
      <c r="E122" s="107">
        <v>-9.6</v>
      </c>
      <c r="G122" s="42"/>
      <c r="H122" s="42"/>
      <c r="I122" s="42"/>
      <c r="J122" s="42"/>
      <c r="K122" s="42"/>
      <c r="L122" s="42"/>
      <c r="M122" s="42"/>
    </row>
    <row r="123">
      <c r="A123" s="181"/>
      <c r="B123" s="178"/>
      <c r="C123" s="182"/>
      <c r="D123" s="183"/>
      <c r="E123" s="107">
        <v>-1.25</v>
      </c>
      <c r="G123" s="42"/>
      <c r="H123" s="42"/>
      <c r="I123" s="42"/>
      <c r="J123" s="42"/>
      <c r="K123" s="42"/>
      <c r="L123" s="42"/>
      <c r="M123" s="42"/>
    </row>
    <row r="124">
      <c r="A124" s="192"/>
      <c r="B124" s="184"/>
      <c r="C124" s="202"/>
      <c r="D124" s="193"/>
      <c r="E124" s="107">
        <v>-1.25</v>
      </c>
      <c r="G124" s="42"/>
      <c r="H124" s="42"/>
      <c r="I124" s="42"/>
      <c r="J124" s="42"/>
      <c r="K124" s="42"/>
      <c r="L124" s="42"/>
      <c r="M124" s="42"/>
    </row>
    <row r="125">
      <c r="A125" s="181"/>
      <c r="B125" s="178"/>
      <c r="C125" s="182"/>
      <c r="D125" s="183"/>
      <c r="E125" s="107">
        <v>-2.9</v>
      </c>
      <c r="G125" s="42"/>
      <c r="H125" s="42"/>
      <c r="I125" s="42"/>
      <c r="J125" s="42"/>
      <c r="K125" s="42"/>
      <c r="L125" s="42"/>
      <c r="M125" s="42"/>
    </row>
    <row r="126">
      <c r="A126" s="192"/>
      <c r="B126" s="184"/>
      <c r="C126" s="202"/>
      <c r="D126" s="193"/>
      <c r="E126" s="107">
        <v>-30.0</v>
      </c>
      <c r="G126" s="42"/>
      <c r="H126" s="42"/>
      <c r="I126" s="42"/>
      <c r="J126" s="42"/>
      <c r="K126" s="42"/>
      <c r="L126" s="42"/>
      <c r="M126" s="42"/>
    </row>
    <row r="127">
      <c r="A127" s="181"/>
      <c r="B127" s="178"/>
      <c r="C127" s="182"/>
      <c r="D127" s="183"/>
      <c r="E127" s="107">
        <v>-2.9</v>
      </c>
      <c r="G127" s="42"/>
      <c r="H127" s="42"/>
      <c r="I127" s="42"/>
      <c r="J127" s="42"/>
      <c r="K127" s="42"/>
      <c r="L127" s="42"/>
      <c r="M127" s="42"/>
    </row>
    <row r="128">
      <c r="A128" s="181"/>
      <c r="B128" s="178"/>
      <c r="C128" s="182"/>
      <c r="D128" s="183"/>
      <c r="E128" s="107">
        <v>-2.75</v>
      </c>
      <c r="G128" s="42"/>
      <c r="H128" s="42"/>
      <c r="I128" s="42"/>
      <c r="J128" s="42"/>
      <c r="K128" s="42"/>
      <c r="L128" s="42"/>
      <c r="M128" s="42"/>
    </row>
    <row r="129">
      <c r="A129" s="181"/>
      <c r="B129" s="178"/>
      <c r="C129" s="182"/>
      <c r="D129" s="183"/>
      <c r="E129" s="107">
        <v>-2.9</v>
      </c>
      <c r="G129" s="42"/>
      <c r="H129" s="42"/>
      <c r="I129" s="42"/>
      <c r="J129" s="42"/>
      <c r="K129" s="42"/>
      <c r="L129" s="42"/>
      <c r="M129" s="42"/>
    </row>
    <row r="130">
      <c r="A130" s="181"/>
      <c r="B130" s="178"/>
      <c r="C130" s="182"/>
      <c r="D130" s="183"/>
      <c r="E130" s="107">
        <v>-2.75</v>
      </c>
      <c r="G130" s="42"/>
      <c r="H130" s="42"/>
      <c r="I130" s="42"/>
      <c r="J130" s="42"/>
      <c r="K130" s="42"/>
      <c r="L130" s="42"/>
      <c r="M130" s="42"/>
    </row>
    <row r="131">
      <c r="A131" s="181"/>
      <c r="B131" s="178"/>
      <c r="C131" s="182"/>
      <c r="D131" s="183"/>
      <c r="E131" s="107">
        <v>-13.25</v>
      </c>
      <c r="G131" s="42"/>
      <c r="H131" s="42"/>
      <c r="I131" s="42"/>
      <c r="J131" s="42"/>
      <c r="K131" s="42"/>
      <c r="L131" s="42"/>
      <c r="M131" s="42"/>
    </row>
    <row r="132">
      <c r="A132" s="192"/>
      <c r="B132" s="184"/>
      <c r="C132" s="202"/>
      <c r="D132" s="193"/>
      <c r="E132" s="107">
        <v>-28.27</v>
      </c>
      <c r="G132" s="42"/>
      <c r="H132" s="42"/>
      <c r="I132" s="42"/>
      <c r="J132" s="42"/>
      <c r="K132" s="42"/>
      <c r="L132" s="42"/>
      <c r="M132" s="42"/>
    </row>
    <row r="133">
      <c r="A133" s="181"/>
      <c r="B133" s="178"/>
      <c r="C133" s="182"/>
      <c r="D133" s="183"/>
      <c r="E133" s="107">
        <v>-51.99</v>
      </c>
      <c r="G133" s="42"/>
      <c r="H133" s="42"/>
      <c r="I133" s="42"/>
      <c r="J133" s="42"/>
      <c r="K133" s="42"/>
      <c r="L133" s="42"/>
      <c r="M133" s="42"/>
    </row>
    <row r="134">
      <c r="A134" s="181"/>
      <c r="B134" s="178"/>
      <c r="C134" s="182"/>
      <c r="D134" s="183"/>
      <c r="E134" s="107">
        <v>-31.03</v>
      </c>
      <c r="G134" s="42"/>
      <c r="H134" s="42"/>
      <c r="I134" s="42"/>
      <c r="J134" s="42"/>
      <c r="K134" s="42"/>
      <c r="L134" s="42"/>
      <c r="M134" s="42"/>
    </row>
    <row r="135">
      <c r="A135" s="181"/>
      <c r="B135" s="178"/>
      <c r="C135" s="182"/>
      <c r="D135" s="183"/>
      <c r="E135" s="107">
        <v>-53.58</v>
      </c>
      <c r="G135" s="42"/>
      <c r="H135" s="42"/>
      <c r="I135" s="42"/>
      <c r="J135" s="42"/>
      <c r="K135" s="42"/>
      <c r="L135" s="42"/>
      <c r="M135" s="42"/>
    </row>
    <row r="136">
      <c r="A136" s="181"/>
      <c r="B136" s="178"/>
      <c r="C136" s="182"/>
      <c r="D136" s="183"/>
      <c r="E136" s="107">
        <v>-1.5</v>
      </c>
      <c r="G136" s="42"/>
      <c r="H136" s="42"/>
      <c r="I136" s="42"/>
      <c r="J136" s="42"/>
      <c r="K136" s="42"/>
      <c r="L136" s="42"/>
      <c r="M136" s="42"/>
    </row>
    <row r="137">
      <c r="A137" s="181"/>
      <c r="B137" s="178"/>
      <c r="C137" s="182"/>
      <c r="D137" s="183"/>
      <c r="E137" s="107">
        <v>-12.84</v>
      </c>
      <c r="G137" s="42"/>
      <c r="H137" s="42"/>
      <c r="I137" s="42"/>
      <c r="J137" s="42"/>
      <c r="K137" s="42"/>
      <c r="L137" s="42"/>
      <c r="M137" s="42"/>
    </row>
    <row r="138">
      <c r="A138" s="181"/>
      <c r="B138" s="178"/>
      <c r="C138" s="182"/>
      <c r="D138" s="183"/>
      <c r="E138" s="107">
        <v>-2.4</v>
      </c>
      <c r="G138" s="42"/>
      <c r="H138" s="42"/>
      <c r="I138" s="42"/>
      <c r="J138" s="42"/>
      <c r="K138" s="42"/>
      <c r="L138" s="42"/>
      <c r="M138" s="42"/>
    </row>
    <row r="139">
      <c r="A139" s="192"/>
      <c r="B139" s="184"/>
      <c r="C139" s="202"/>
      <c r="D139" s="193"/>
      <c r="E139" s="107">
        <v>-1.25</v>
      </c>
      <c r="G139" s="42"/>
      <c r="H139" s="42"/>
      <c r="I139" s="42"/>
      <c r="J139" s="42"/>
      <c r="K139" s="42"/>
      <c r="L139" s="42"/>
      <c r="M139" s="42"/>
    </row>
    <row r="140">
      <c r="A140" s="181"/>
      <c r="B140" s="178"/>
      <c r="C140" s="182"/>
      <c r="D140" s="183"/>
      <c r="E140" s="107">
        <v>-25.95</v>
      </c>
      <c r="G140" s="42"/>
      <c r="H140" s="42"/>
      <c r="I140" s="42"/>
      <c r="J140" s="42"/>
      <c r="K140" s="42"/>
      <c r="L140" s="42"/>
      <c r="M140" s="42"/>
    </row>
    <row r="141">
      <c r="A141" s="192"/>
      <c r="B141" s="184"/>
      <c r="C141" s="202"/>
      <c r="D141" s="193"/>
      <c r="E141" s="107">
        <v>-1.25</v>
      </c>
      <c r="G141" s="42"/>
      <c r="H141" s="42"/>
      <c r="I141" s="42"/>
      <c r="J141" s="42"/>
      <c r="K141" s="42"/>
      <c r="L141" s="42"/>
      <c r="M141" s="42"/>
    </row>
    <row r="142">
      <c r="A142" s="181"/>
      <c r="B142" s="178"/>
      <c r="C142" s="182"/>
      <c r="D142" s="183"/>
      <c r="E142" s="107">
        <v>-3.95</v>
      </c>
      <c r="G142" s="42"/>
      <c r="H142" s="42"/>
      <c r="I142" s="42"/>
      <c r="J142" s="42"/>
      <c r="K142" s="42"/>
      <c r="L142" s="42"/>
      <c r="M142" s="42"/>
    </row>
    <row r="143">
      <c r="A143" s="192"/>
      <c r="B143" s="184"/>
      <c r="C143" s="202"/>
      <c r="D143" s="193"/>
      <c r="E143" s="107">
        <v>-1.25</v>
      </c>
      <c r="G143" s="42"/>
      <c r="H143" s="42"/>
      <c r="I143" s="42"/>
      <c r="J143" s="42"/>
      <c r="K143" s="42"/>
      <c r="L143" s="42"/>
      <c r="M143" s="42"/>
    </row>
    <row r="144">
      <c r="A144" s="181"/>
      <c r="B144" s="178"/>
      <c r="C144" s="182"/>
      <c r="D144" s="183"/>
      <c r="E144" s="107">
        <v>-55.88</v>
      </c>
      <c r="G144" s="42"/>
      <c r="H144" s="42"/>
      <c r="I144" s="42"/>
      <c r="J144" s="42"/>
      <c r="K144" s="42"/>
      <c r="L144" s="42"/>
      <c r="M144" s="42"/>
    </row>
    <row r="145">
      <c r="A145" s="181"/>
      <c r="B145" s="178"/>
      <c r="C145" s="182"/>
      <c r="D145" s="183"/>
      <c r="E145" s="107">
        <v>-25.02</v>
      </c>
      <c r="G145" s="42"/>
      <c r="H145" s="42"/>
      <c r="I145" s="42"/>
      <c r="J145" s="42"/>
      <c r="K145" s="42"/>
      <c r="L145" s="42"/>
      <c r="M145" s="42"/>
    </row>
    <row r="146">
      <c r="A146" s="181"/>
      <c r="B146" s="178"/>
      <c r="C146" s="182"/>
      <c r="D146" s="183"/>
      <c r="E146" s="107">
        <v>-81.2</v>
      </c>
      <c r="G146" s="42"/>
      <c r="H146" s="42"/>
      <c r="I146" s="42"/>
      <c r="J146" s="42"/>
      <c r="K146" s="42"/>
      <c r="L146" s="42"/>
      <c r="M146" s="42"/>
    </row>
    <row r="147">
      <c r="A147" s="192"/>
      <c r="B147" s="184"/>
      <c r="C147" s="189"/>
      <c r="D147" s="186"/>
      <c r="E147" s="107"/>
      <c r="G147" s="42"/>
      <c r="H147" s="42"/>
      <c r="I147" s="42"/>
      <c r="J147" s="42"/>
      <c r="K147" s="42"/>
      <c r="L147" s="42"/>
      <c r="M147" s="42"/>
    </row>
    <row r="148">
      <c r="A148" s="204"/>
      <c r="B148" s="184"/>
      <c r="C148" s="194"/>
      <c r="D148" s="194"/>
      <c r="E148" s="107"/>
      <c r="G148" s="42"/>
      <c r="H148" s="42"/>
      <c r="I148" s="42"/>
      <c r="J148" s="42"/>
      <c r="K148" s="42"/>
      <c r="L148" s="42"/>
      <c r="M148" s="42"/>
    </row>
    <row r="149">
      <c r="A149" s="181"/>
      <c r="B149" s="178"/>
      <c r="C149" s="182"/>
      <c r="D149" s="180"/>
      <c r="E149" s="107"/>
      <c r="G149" s="42"/>
      <c r="H149" s="42"/>
      <c r="I149" s="42"/>
      <c r="J149" s="42"/>
      <c r="K149" s="42"/>
      <c r="L149" s="42"/>
      <c r="M149" s="42"/>
    </row>
    <row r="150">
      <c r="A150" s="192"/>
      <c r="B150" s="186"/>
      <c r="C150" s="189"/>
      <c r="D150" s="186"/>
      <c r="E150" s="107"/>
      <c r="G150" s="42"/>
      <c r="H150" s="42"/>
      <c r="I150" s="42"/>
      <c r="J150" s="42"/>
      <c r="K150" s="42"/>
      <c r="L150" s="42"/>
      <c r="M150" s="42"/>
    </row>
    <row r="151">
      <c r="A151" s="181"/>
      <c r="B151" s="178"/>
      <c r="C151" s="182"/>
      <c r="D151" s="180"/>
      <c r="E151" s="107"/>
      <c r="G151" s="42"/>
      <c r="H151" s="42"/>
      <c r="I151" s="42"/>
      <c r="J151" s="42"/>
      <c r="K151" s="42"/>
      <c r="L151" s="42"/>
      <c r="M151" s="42"/>
    </row>
    <row r="152">
      <c r="A152" s="192"/>
      <c r="B152" s="186"/>
      <c r="C152" s="189"/>
      <c r="D152" s="186"/>
      <c r="E152" s="107"/>
      <c r="G152" s="42"/>
      <c r="H152" s="42"/>
      <c r="I152" s="42"/>
      <c r="J152" s="42"/>
      <c r="K152" s="42"/>
      <c r="L152" s="42"/>
      <c r="M152" s="42"/>
    </row>
    <row r="153">
      <c r="A153" s="181"/>
      <c r="B153" s="178"/>
      <c r="C153" s="182"/>
      <c r="D153" s="180"/>
      <c r="E153" s="107"/>
      <c r="G153" s="42"/>
      <c r="H153" s="42"/>
      <c r="I153" s="42"/>
      <c r="J153" s="42"/>
      <c r="K153" s="42"/>
      <c r="L153" s="42"/>
      <c r="M153" s="42"/>
    </row>
    <row r="154">
      <c r="A154" s="188"/>
      <c r="B154" s="186"/>
      <c r="C154" s="189"/>
      <c r="D154" s="186"/>
      <c r="E154" s="107"/>
      <c r="G154" s="42"/>
      <c r="H154" s="42"/>
      <c r="I154" s="42"/>
      <c r="J154" s="42"/>
      <c r="K154" s="42"/>
      <c r="L154" s="42"/>
      <c r="M154" s="42"/>
    </row>
    <row r="155">
      <c r="A155" s="181"/>
      <c r="B155" s="178"/>
      <c r="C155" s="182"/>
      <c r="D155" s="180"/>
      <c r="E155" s="107"/>
      <c r="G155" s="42"/>
      <c r="H155" s="42"/>
      <c r="I155" s="42"/>
      <c r="J155" s="42"/>
      <c r="K155" s="42"/>
      <c r="L155" s="42"/>
      <c r="M155" s="42"/>
    </row>
    <row r="156">
      <c r="A156" s="181"/>
      <c r="B156" s="178"/>
      <c r="C156" s="182"/>
      <c r="D156" s="180"/>
      <c r="E156" s="107"/>
      <c r="G156" s="42"/>
      <c r="H156" s="42"/>
      <c r="I156" s="42"/>
      <c r="J156" s="42"/>
      <c r="K156" s="42"/>
      <c r="L156" s="42"/>
      <c r="M156" s="42"/>
    </row>
    <row r="157">
      <c r="A157" s="188"/>
      <c r="B157" s="186"/>
      <c r="C157" s="189"/>
      <c r="D157" s="186"/>
      <c r="E157" s="107"/>
      <c r="G157" s="42"/>
      <c r="H157" s="42"/>
      <c r="I157" s="42"/>
      <c r="J157" s="42"/>
      <c r="K157" s="42"/>
      <c r="L157" s="42"/>
      <c r="M157" s="42"/>
    </row>
    <row r="158">
      <c r="A158" s="181"/>
      <c r="B158" s="178"/>
      <c r="C158" s="182"/>
      <c r="D158" s="180"/>
      <c r="E158" s="107"/>
      <c r="G158" s="42"/>
      <c r="H158" s="42"/>
      <c r="I158" s="42"/>
      <c r="J158" s="42"/>
      <c r="K158" s="42"/>
      <c r="L158" s="42"/>
      <c r="M158" s="42"/>
    </row>
    <row r="159">
      <c r="A159" s="181"/>
      <c r="B159" s="178"/>
      <c r="C159" s="182"/>
      <c r="D159" s="180"/>
      <c r="E159" s="107"/>
      <c r="G159" s="42"/>
      <c r="H159" s="42"/>
      <c r="I159" s="42"/>
      <c r="J159" s="42"/>
      <c r="K159" s="42"/>
      <c r="L159" s="42"/>
      <c r="M159" s="42"/>
    </row>
    <row r="160">
      <c r="A160" s="192"/>
      <c r="B160" s="184"/>
      <c r="C160" s="202"/>
      <c r="D160" s="193"/>
      <c r="E160" s="107"/>
      <c r="G160" s="42"/>
      <c r="H160" s="42"/>
      <c r="I160" s="42"/>
      <c r="J160" s="42"/>
      <c r="K160" s="42"/>
      <c r="L160" s="42"/>
      <c r="M160" s="42"/>
    </row>
    <row r="161">
      <c r="A161" s="181"/>
      <c r="B161" s="205"/>
      <c r="C161" s="183"/>
      <c r="D161" s="183"/>
      <c r="E161" s="107"/>
      <c r="G161" s="42"/>
      <c r="H161" s="42"/>
      <c r="I161" s="42"/>
      <c r="J161" s="42"/>
      <c r="K161" s="42"/>
      <c r="L161" s="42"/>
      <c r="M161" s="42"/>
    </row>
    <row r="162">
      <c r="A162" s="188"/>
      <c r="B162" s="186"/>
      <c r="C162" s="189"/>
      <c r="D162" s="186"/>
      <c r="E162" s="107"/>
      <c r="G162" s="42"/>
      <c r="H162" s="42"/>
      <c r="I162" s="42"/>
      <c r="J162" s="42"/>
      <c r="K162" s="42"/>
      <c r="L162" s="42"/>
      <c r="M162" s="42"/>
    </row>
    <row r="163">
      <c r="A163" s="181"/>
      <c r="B163" s="205"/>
      <c r="C163" s="183"/>
      <c r="D163" s="183"/>
      <c r="E163" s="107"/>
      <c r="G163" s="42"/>
      <c r="H163" s="42"/>
      <c r="I163" s="42"/>
      <c r="J163" s="42"/>
      <c r="K163" s="42"/>
      <c r="L163" s="42"/>
      <c r="M163" s="42"/>
    </row>
    <row r="164">
      <c r="A164" s="188"/>
      <c r="B164" s="186"/>
      <c r="C164" s="189"/>
      <c r="D164" s="186"/>
      <c r="E164" s="107"/>
      <c r="G164" s="42"/>
      <c r="H164" s="42"/>
      <c r="I164" s="42"/>
      <c r="J164" s="42"/>
      <c r="K164" s="42"/>
      <c r="L164" s="42"/>
      <c r="M164" s="42"/>
    </row>
    <row r="165">
      <c r="A165" s="181"/>
      <c r="B165" s="205"/>
      <c r="C165" s="183"/>
      <c r="D165" s="183"/>
      <c r="E165" s="107"/>
      <c r="G165" s="42"/>
      <c r="H165" s="42"/>
      <c r="I165" s="42"/>
      <c r="J165" s="42"/>
      <c r="K165" s="42"/>
      <c r="L165" s="42"/>
      <c r="M165" s="42"/>
    </row>
    <row r="166">
      <c r="A166" s="181"/>
      <c r="B166" s="205"/>
      <c r="C166" s="183"/>
      <c r="D166" s="183"/>
      <c r="E166" s="107"/>
      <c r="G166" s="42"/>
      <c r="H166" s="42"/>
      <c r="I166" s="42"/>
      <c r="J166" s="42"/>
      <c r="K166" s="42"/>
      <c r="L166" s="42"/>
      <c r="M166" s="42"/>
    </row>
    <row r="167">
      <c r="A167" s="181"/>
      <c r="B167" s="205"/>
      <c r="C167" s="183"/>
      <c r="D167" s="183"/>
      <c r="E167" s="107"/>
      <c r="G167" s="42"/>
      <c r="H167" s="42"/>
      <c r="I167" s="42"/>
      <c r="J167" s="42"/>
      <c r="K167" s="42"/>
      <c r="L167" s="42"/>
      <c r="M167" s="42"/>
    </row>
    <row r="168">
      <c r="A168" s="188"/>
      <c r="B168" s="186"/>
      <c r="C168" s="189"/>
      <c r="D168" s="186"/>
      <c r="E168" s="107"/>
      <c r="G168" s="42"/>
      <c r="H168" s="42"/>
      <c r="I168" s="42"/>
      <c r="J168" s="42"/>
      <c r="K168" s="42"/>
      <c r="L168" s="42"/>
      <c r="M168" s="42"/>
    </row>
    <row r="169">
      <c r="A169" s="181"/>
      <c r="B169" s="205"/>
      <c r="C169" s="183"/>
      <c r="D169" s="183"/>
      <c r="E169" s="107"/>
      <c r="G169" s="42"/>
      <c r="H169" s="42"/>
      <c r="I169" s="42"/>
      <c r="J169" s="42"/>
      <c r="K169" s="42"/>
      <c r="L169" s="42"/>
      <c r="M169" s="42"/>
    </row>
    <row r="170">
      <c r="A170" s="181"/>
      <c r="B170" s="205"/>
      <c r="C170" s="183"/>
      <c r="D170" s="183"/>
      <c r="E170" s="107"/>
      <c r="G170" s="42"/>
      <c r="H170" s="42"/>
      <c r="I170" s="42"/>
      <c r="J170" s="42"/>
      <c r="K170" s="42"/>
      <c r="L170" s="42"/>
      <c r="M170" s="42"/>
    </row>
    <row r="171">
      <c r="A171" s="188"/>
      <c r="B171" s="186"/>
      <c r="C171" s="189"/>
      <c r="D171" s="186"/>
      <c r="E171" s="107"/>
      <c r="G171" s="42"/>
      <c r="H171" s="42"/>
      <c r="I171" s="42"/>
      <c r="J171" s="42"/>
      <c r="K171" s="42"/>
      <c r="L171" s="42"/>
      <c r="M171" s="42"/>
    </row>
    <row r="172">
      <c r="A172" s="188"/>
      <c r="B172" s="186"/>
      <c r="C172" s="189"/>
      <c r="D172" s="186"/>
      <c r="E172" s="107"/>
      <c r="G172" s="42"/>
      <c r="H172" s="42"/>
      <c r="I172" s="42"/>
      <c r="J172" s="42"/>
      <c r="K172" s="42"/>
      <c r="L172" s="42"/>
      <c r="M172" s="42"/>
    </row>
    <row r="173">
      <c r="A173" s="181"/>
      <c r="B173" s="178"/>
      <c r="C173" s="182"/>
      <c r="D173" s="183"/>
      <c r="E173" s="107"/>
      <c r="G173" s="42"/>
      <c r="H173" s="42"/>
      <c r="I173" s="42"/>
      <c r="J173" s="42"/>
      <c r="K173" s="42"/>
      <c r="L173" s="42"/>
      <c r="M173" s="42"/>
    </row>
    <row r="174">
      <c r="A174" s="181"/>
      <c r="B174" s="178"/>
      <c r="C174" s="182"/>
      <c r="D174" s="183"/>
      <c r="E174" s="107"/>
      <c r="G174" s="42"/>
      <c r="H174" s="42"/>
      <c r="I174" s="42"/>
      <c r="J174" s="42"/>
      <c r="K174" s="42"/>
      <c r="L174" s="42"/>
      <c r="M174" s="42"/>
    </row>
    <row r="175">
      <c r="A175" s="181"/>
      <c r="B175" s="178"/>
      <c r="C175" s="182"/>
      <c r="D175" s="183"/>
      <c r="E175" s="107"/>
      <c r="G175" s="42"/>
      <c r="H175" s="42"/>
      <c r="I175" s="42"/>
      <c r="J175" s="42"/>
      <c r="K175" s="42"/>
      <c r="L175" s="42"/>
      <c r="M175" s="42"/>
    </row>
    <row r="176">
      <c r="A176" s="181"/>
      <c r="B176" s="178"/>
      <c r="C176" s="182"/>
      <c r="D176" s="183"/>
      <c r="E176" s="107"/>
      <c r="G176" s="42"/>
      <c r="H176" s="42"/>
      <c r="I176" s="42"/>
      <c r="J176" s="42"/>
      <c r="K176" s="42"/>
      <c r="L176" s="42"/>
      <c r="M176" s="42"/>
    </row>
    <row r="177">
      <c r="A177" s="188"/>
      <c r="B177" s="186"/>
      <c r="C177" s="189"/>
      <c r="D177" s="186"/>
      <c r="E177" s="107"/>
      <c r="G177" s="42"/>
      <c r="H177" s="42"/>
      <c r="I177" s="42"/>
      <c r="J177" s="42"/>
      <c r="K177" s="42"/>
      <c r="L177" s="42"/>
      <c r="M177" s="42"/>
    </row>
    <row r="178">
      <c r="A178" s="188"/>
      <c r="B178" s="186"/>
      <c r="C178" s="189"/>
      <c r="D178" s="186"/>
      <c r="E178" s="107"/>
      <c r="G178" s="42"/>
      <c r="H178" s="42"/>
      <c r="I178" s="42"/>
      <c r="J178" s="42"/>
      <c r="K178" s="42"/>
      <c r="L178" s="42"/>
      <c r="M178" s="42"/>
    </row>
    <row r="179">
      <c r="A179" s="188"/>
      <c r="B179" s="186"/>
      <c r="C179" s="189"/>
      <c r="D179" s="186"/>
      <c r="E179" s="107"/>
      <c r="G179" s="42"/>
      <c r="H179" s="42"/>
      <c r="I179" s="42"/>
      <c r="J179" s="42"/>
      <c r="K179" s="42"/>
      <c r="L179" s="42"/>
      <c r="M179" s="42"/>
    </row>
    <row r="180">
      <c r="A180" s="190"/>
      <c r="B180" s="184"/>
      <c r="C180" s="194"/>
      <c r="D180" s="194"/>
      <c r="E180" s="107"/>
      <c r="G180" s="42"/>
      <c r="H180" s="42"/>
      <c r="I180" s="42"/>
      <c r="J180" s="42"/>
      <c r="K180" s="42"/>
      <c r="L180" s="42"/>
      <c r="M180" s="42"/>
    </row>
    <row r="181">
      <c r="A181" s="190"/>
      <c r="B181" s="184"/>
      <c r="C181" s="194"/>
      <c r="D181" s="194"/>
      <c r="E181" s="107"/>
      <c r="G181" s="42"/>
      <c r="H181" s="42"/>
      <c r="I181" s="42"/>
      <c r="J181" s="42"/>
      <c r="K181" s="42"/>
      <c r="L181" s="42"/>
      <c r="M181" s="42"/>
    </row>
    <row r="182">
      <c r="A182" s="188"/>
      <c r="B182" s="186"/>
      <c r="C182" s="189"/>
      <c r="D182" s="186"/>
      <c r="E182" s="107"/>
      <c r="G182" s="42"/>
      <c r="H182" s="42"/>
      <c r="I182" s="42"/>
      <c r="J182" s="42"/>
      <c r="K182" s="42"/>
      <c r="L182" s="42"/>
      <c r="M182" s="42"/>
    </row>
    <row r="183">
      <c r="A183" s="188"/>
      <c r="B183" s="186"/>
      <c r="C183" s="189"/>
      <c r="D183" s="186"/>
      <c r="E183" s="107"/>
      <c r="G183" s="42"/>
      <c r="H183" s="42"/>
      <c r="I183" s="42"/>
      <c r="J183" s="42"/>
      <c r="K183" s="42"/>
      <c r="L183" s="42"/>
      <c r="M183" s="42"/>
    </row>
    <row r="184">
      <c r="A184" s="192"/>
      <c r="B184" s="184"/>
      <c r="C184" s="202"/>
      <c r="D184" s="193"/>
      <c r="E184" s="107"/>
      <c r="G184" s="42"/>
      <c r="H184" s="42"/>
      <c r="I184" s="42"/>
      <c r="J184" s="42"/>
      <c r="K184" s="42"/>
      <c r="L184" s="42"/>
      <c r="M184" s="42"/>
    </row>
    <row r="185">
      <c r="A185" s="188"/>
      <c r="B185" s="186"/>
      <c r="C185" s="189"/>
      <c r="D185" s="186"/>
      <c r="E185" s="107"/>
      <c r="G185" s="42"/>
      <c r="H185" s="42"/>
      <c r="I185" s="42"/>
      <c r="J185" s="42"/>
      <c r="K185" s="42"/>
      <c r="L185" s="42"/>
      <c r="M185" s="42"/>
    </row>
    <row r="186">
      <c r="A186" s="190"/>
      <c r="B186" s="184"/>
      <c r="C186" s="194"/>
      <c r="D186" s="194"/>
      <c r="E186" s="107"/>
      <c r="G186" s="42"/>
      <c r="H186" s="42"/>
      <c r="I186" s="42"/>
      <c r="J186" s="42"/>
      <c r="K186" s="42"/>
      <c r="L186" s="42"/>
      <c r="M186" s="42"/>
    </row>
    <row r="187">
      <c r="A187" s="190"/>
      <c r="B187" s="184"/>
      <c r="C187" s="194"/>
      <c r="D187" s="194"/>
      <c r="E187" s="107"/>
      <c r="G187" s="42"/>
      <c r="H187" s="42"/>
      <c r="I187" s="42"/>
      <c r="J187" s="42"/>
      <c r="K187" s="42"/>
      <c r="L187" s="42"/>
      <c r="M187" s="42"/>
    </row>
    <row r="188">
      <c r="A188" s="188"/>
      <c r="B188" s="186"/>
      <c r="C188" s="189"/>
      <c r="D188" s="186"/>
      <c r="E188" s="107"/>
      <c r="G188" s="42"/>
      <c r="H188" s="42"/>
      <c r="I188" s="42"/>
      <c r="J188" s="42"/>
      <c r="K188" s="42"/>
      <c r="L188" s="42"/>
      <c r="M188" s="42"/>
    </row>
    <row r="189">
      <c r="A189" s="188"/>
      <c r="B189" s="186"/>
      <c r="C189" s="189"/>
      <c r="D189" s="186"/>
      <c r="E189" s="107"/>
      <c r="G189" s="42"/>
      <c r="H189" s="42"/>
      <c r="I189" s="42"/>
      <c r="J189" s="42"/>
      <c r="K189" s="42"/>
      <c r="L189" s="42"/>
      <c r="M189" s="42"/>
    </row>
    <row r="190">
      <c r="A190" s="188"/>
      <c r="B190" s="186"/>
      <c r="C190" s="189"/>
      <c r="D190" s="186"/>
      <c r="E190" s="107"/>
      <c r="G190" s="42"/>
      <c r="H190" s="42"/>
      <c r="I190" s="42"/>
      <c r="J190" s="42"/>
      <c r="K190" s="42"/>
      <c r="L190" s="42"/>
      <c r="M190" s="42"/>
    </row>
    <row r="191">
      <c r="A191" s="188"/>
      <c r="B191" s="186"/>
      <c r="C191" s="189"/>
      <c r="D191" s="186"/>
      <c r="E191" s="107"/>
      <c r="G191" s="42"/>
      <c r="H191" s="42"/>
      <c r="I191" s="42"/>
      <c r="J191" s="42"/>
      <c r="K191" s="42"/>
      <c r="L191" s="42"/>
      <c r="M191" s="42"/>
    </row>
    <row r="192">
      <c r="A192" s="188"/>
      <c r="B192" s="186"/>
      <c r="C192" s="189"/>
      <c r="D192" s="186"/>
      <c r="E192" s="107"/>
      <c r="G192" s="42"/>
      <c r="H192" s="42"/>
      <c r="I192" s="42"/>
      <c r="J192" s="42"/>
      <c r="K192" s="42"/>
      <c r="L192" s="42"/>
      <c r="M192" s="42"/>
    </row>
    <row r="193">
      <c r="A193" s="188"/>
      <c r="B193" s="186"/>
      <c r="C193" s="189"/>
      <c r="D193" s="186"/>
      <c r="E193" s="107"/>
      <c r="G193" s="42"/>
      <c r="H193" s="42"/>
      <c r="I193" s="42"/>
      <c r="J193" s="42"/>
      <c r="K193" s="42"/>
      <c r="L193" s="42"/>
      <c r="M193" s="42"/>
    </row>
    <row r="194">
      <c r="A194" s="190"/>
      <c r="B194" s="184"/>
      <c r="C194" s="194"/>
      <c r="D194" s="194"/>
      <c r="E194" s="107"/>
      <c r="G194" s="42"/>
      <c r="H194" s="42"/>
      <c r="I194" s="42"/>
      <c r="J194" s="42"/>
      <c r="K194" s="42"/>
      <c r="L194" s="42"/>
      <c r="M194" s="42"/>
    </row>
    <row r="195">
      <c r="A195" s="188"/>
      <c r="B195" s="186"/>
      <c r="C195" s="189"/>
      <c r="D195" s="186"/>
      <c r="E195" s="107"/>
      <c r="G195" s="42"/>
      <c r="H195" s="42"/>
      <c r="I195" s="42"/>
      <c r="J195" s="42"/>
      <c r="K195" s="42"/>
      <c r="L195" s="42"/>
      <c r="M195" s="42"/>
    </row>
    <row r="196">
      <c r="A196" s="188"/>
      <c r="B196" s="186"/>
      <c r="C196" s="189"/>
      <c r="D196" s="186"/>
      <c r="E196" s="107"/>
      <c r="G196" s="42"/>
      <c r="H196" s="42"/>
      <c r="I196" s="42"/>
      <c r="J196" s="42"/>
      <c r="K196" s="42"/>
      <c r="L196" s="42"/>
      <c r="M196" s="42"/>
    </row>
    <row r="197">
      <c r="A197" s="188"/>
      <c r="B197" s="186"/>
      <c r="C197" s="189"/>
      <c r="D197" s="186"/>
      <c r="E197" s="107"/>
      <c r="G197" s="42"/>
      <c r="H197" s="42"/>
      <c r="I197" s="42"/>
      <c r="J197" s="42"/>
      <c r="K197" s="42"/>
      <c r="L197" s="42"/>
      <c r="M197" s="42"/>
    </row>
    <row r="198">
      <c r="A198" s="188"/>
      <c r="B198" s="186"/>
      <c r="C198" s="189"/>
      <c r="D198" s="186"/>
      <c r="E198" s="107"/>
      <c r="G198" s="42"/>
      <c r="H198" s="42"/>
      <c r="I198" s="42"/>
      <c r="J198" s="42"/>
      <c r="K198" s="42"/>
      <c r="L198" s="42"/>
      <c r="M198" s="42"/>
    </row>
    <row r="199">
      <c r="A199" s="190"/>
      <c r="B199" s="184"/>
      <c r="C199" s="194"/>
      <c r="D199" s="194"/>
      <c r="E199" s="107"/>
      <c r="G199" s="42"/>
      <c r="H199" s="42"/>
      <c r="I199" s="42"/>
      <c r="J199" s="42"/>
      <c r="K199" s="42"/>
      <c r="L199" s="42"/>
      <c r="M199" s="42"/>
    </row>
    <row r="200">
      <c r="A200" s="174"/>
      <c r="B200" s="175"/>
      <c r="C200" s="176"/>
      <c r="D200" s="175"/>
      <c r="E200" s="107"/>
      <c r="G200" s="42"/>
      <c r="H200" s="42"/>
      <c r="I200" s="42"/>
      <c r="J200" s="42"/>
      <c r="K200" s="42"/>
      <c r="L200" s="42"/>
      <c r="M200" s="42"/>
    </row>
    <row r="201">
      <c r="A201" s="177"/>
      <c r="B201" s="178"/>
      <c r="C201" s="180"/>
      <c r="D201" s="180"/>
      <c r="E201" s="107"/>
      <c r="G201" s="42"/>
      <c r="H201" s="42"/>
      <c r="I201" s="42"/>
      <c r="J201" s="42"/>
      <c r="K201" s="42"/>
      <c r="L201" s="42"/>
      <c r="M201" s="42"/>
    </row>
    <row r="202">
      <c r="A202" s="174"/>
      <c r="B202" s="175"/>
      <c r="C202" s="176"/>
      <c r="D202" s="175"/>
      <c r="E202" s="107"/>
      <c r="G202" s="42"/>
      <c r="H202" s="42"/>
      <c r="I202" s="42"/>
      <c r="J202" s="42"/>
      <c r="K202" s="42"/>
      <c r="L202" s="42"/>
      <c r="M202" s="42"/>
    </row>
    <row r="203">
      <c r="A203" s="174"/>
      <c r="B203" s="175"/>
      <c r="C203" s="176"/>
      <c r="D203" s="175"/>
      <c r="E203" s="107"/>
      <c r="G203" s="42"/>
      <c r="H203" s="42"/>
      <c r="I203" s="42"/>
      <c r="J203" s="42"/>
      <c r="K203" s="42"/>
      <c r="L203" s="42"/>
      <c r="M203" s="42"/>
    </row>
    <row r="204">
      <c r="A204" s="174"/>
      <c r="B204" s="175"/>
      <c r="C204" s="176"/>
      <c r="D204" s="175"/>
      <c r="E204" s="107"/>
      <c r="G204" s="42"/>
      <c r="H204" s="42"/>
      <c r="I204" s="42"/>
      <c r="J204" s="42"/>
      <c r="K204" s="42"/>
      <c r="L204" s="42"/>
      <c r="M204" s="42"/>
    </row>
    <row r="205">
      <c r="A205" s="177"/>
      <c r="B205" s="178"/>
      <c r="C205" s="180"/>
      <c r="D205" s="180"/>
      <c r="E205" s="107"/>
      <c r="G205" s="42"/>
      <c r="H205" s="42"/>
      <c r="I205" s="42"/>
      <c r="J205" s="42"/>
      <c r="K205" s="42"/>
      <c r="L205" s="42"/>
      <c r="M205" s="42"/>
    </row>
    <row r="206">
      <c r="A206" s="181"/>
      <c r="B206" s="178"/>
      <c r="C206" s="182"/>
      <c r="D206" s="183"/>
      <c r="E206" s="107"/>
      <c r="G206" s="42"/>
      <c r="H206" s="42"/>
      <c r="I206" s="42"/>
      <c r="J206" s="42"/>
      <c r="K206" s="42"/>
      <c r="L206" s="42"/>
      <c r="M206" s="42"/>
    </row>
    <row r="207">
      <c r="A207" s="181"/>
      <c r="B207" s="178"/>
      <c r="C207" s="182"/>
      <c r="D207" s="183"/>
      <c r="E207" s="107"/>
      <c r="G207" s="42"/>
      <c r="H207" s="42"/>
      <c r="I207" s="42"/>
      <c r="J207" s="42"/>
      <c r="K207" s="42"/>
      <c r="L207" s="42"/>
      <c r="M207" s="42"/>
    </row>
    <row r="208">
      <c r="A208" s="181"/>
      <c r="B208" s="178"/>
      <c r="C208" s="182"/>
      <c r="D208" s="183"/>
      <c r="E208" s="107"/>
      <c r="G208" s="42"/>
      <c r="H208" s="42"/>
      <c r="I208" s="42"/>
      <c r="J208" s="42"/>
      <c r="K208" s="42"/>
      <c r="L208" s="42"/>
      <c r="M208" s="42"/>
    </row>
    <row r="209">
      <c r="A209" s="177"/>
      <c r="B209" s="178"/>
      <c r="C209" s="180"/>
      <c r="D209" s="180"/>
      <c r="E209" s="107"/>
      <c r="G209" s="42"/>
      <c r="H209" s="42"/>
      <c r="I209" s="42"/>
      <c r="J209" s="42"/>
      <c r="K209" s="42"/>
      <c r="L209" s="42"/>
      <c r="M209" s="42"/>
    </row>
    <row r="210">
      <c r="A210" s="177"/>
      <c r="B210" s="178"/>
      <c r="C210" s="180"/>
      <c r="D210" s="180"/>
      <c r="E210" s="107"/>
      <c r="G210" s="42"/>
      <c r="H210" s="42"/>
      <c r="I210" s="42"/>
      <c r="J210" s="42"/>
      <c r="K210" s="42"/>
      <c r="L210" s="42"/>
      <c r="M210" s="42"/>
    </row>
    <row r="211">
      <c r="A211" s="174"/>
      <c r="B211" s="175"/>
      <c r="C211" s="176"/>
      <c r="D211" s="175"/>
      <c r="E211" s="107"/>
      <c r="G211" s="42"/>
      <c r="H211" s="42"/>
      <c r="I211" s="42"/>
      <c r="J211" s="42"/>
      <c r="K211" s="42"/>
      <c r="L211" s="42"/>
      <c r="M211" s="42"/>
    </row>
    <row r="212">
      <c r="A212" s="174"/>
      <c r="B212" s="175"/>
      <c r="C212" s="176"/>
      <c r="D212" s="175"/>
      <c r="E212" s="107"/>
      <c r="G212" s="42"/>
      <c r="H212" s="42"/>
      <c r="I212" s="42"/>
      <c r="J212" s="42"/>
      <c r="K212" s="42"/>
      <c r="L212" s="42"/>
      <c r="M212" s="42"/>
    </row>
    <row r="213">
      <c r="A213" s="174"/>
      <c r="B213" s="175"/>
      <c r="C213" s="176"/>
      <c r="D213" s="175"/>
      <c r="E213" s="107"/>
      <c r="G213" s="42"/>
      <c r="H213" s="42"/>
      <c r="I213" s="42"/>
      <c r="J213" s="42"/>
      <c r="K213" s="42"/>
      <c r="L213" s="42"/>
      <c r="M213" s="42"/>
    </row>
    <row r="214">
      <c r="A214" s="174"/>
      <c r="B214" s="175"/>
      <c r="C214" s="176"/>
      <c r="D214" s="175"/>
      <c r="E214" s="107"/>
      <c r="G214" s="42"/>
      <c r="H214" s="42"/>
      <c r="I214" s="42"/>
      <c r="J214" s="42"/>
      <c r="K214" s="42"/>
      <c r="L214" s="42"/>
      <c r="M214" s="42"/>
    </row>
    <row r="215">
      <c r="A215" s="174"/>
      <c r="B215" s="175"/>
      <c r="C215" s="176"/>
      <c r="D215" s="175"/>
      <c r="E215" s="107"/>
      <c r="G215" s="42"/>
      <c r="H215" s="42"/>
      <c r="I215" s="42"/>
      <c r="J215" s="42"/>
      <c r="K215" s="42"/>
      <c r="L215" s="42"/>
      <c r="M215" s="42"/>
    </row>
    <row r="216">
      <c r="A216" s="174"/>
      <c r="B216" s="175"/>
      <c r="C216" s="176"/>
      <c r="D216" s="175"/>
      <c r="E216" s="107"/>
      <c r="G216" s="42"/>
      <c r="H216" s="42"/>
      <c r="I216" s="42"/>
      <c r="J216" s="42"/>
      <c r="K216" s="42"/>
      <c r="L216" s="42"/>
      <c r="M216" s="42"/>
    </row>
    <row r="217">
      <c r="A217" s="181"/>
      <c r="B217" s="178"/>
      <c r="C217" s="182"/>
      <c r="D217" s="183"/>
      <c r="E217" s="107"/>
      <c r="G217" s="42"/>
      <c r="H217" s="42"/>
      <c r="I217" s="42"/>
      <c r="J217" s="42"/>
      <c r="K217" s="42"/>
      <c r="L217" s="42"/>
      <c r="M217" s="42"/>
    </row>
    <row r="218">
      <c r="A218" s="181"/>
      <c r="B218" s="178"/>
      <c r="C218" s="182"/>
      <c r="D218" s="183"/>
      <c r="E218" s="107"/>
      <c r="G218" s="42"/>
      <c r="H218" s="42"/>
      <c r="I218" s="42"/>
      <c r="J218" s="42"/>
      <c r="K218" s="42"/>
      <c r="L218" s="42"/>
      <c r="M218" s="42"/>
    </row>
    <row r="219">
      <c r="A219" s="181"/>
      <c r="B219" s="178"/>
      <c r="C219" s="182"/>
      <c r="D219" s="183"/>
      <c r="E219" s="107"/>
      <c r="G219" s="42"/>
      <c r="H219" s="42"/>
      <c r="I219" s="42"/>
      <c r="J219" s="42"/>
      <c r="K219" s="42"/>
      <c r="L219" s="42"/>
      <c r="M219" s="42"/>
    </row>
    <row r="220">
      <c r="A220" s="174"/>
      <c r="B220" s="175"/>
      <c r="C220" s="176"/>
      <c r="D220" s="175"/>
      <c r="E220" s="107"/>
      <c r="G220" s="42"/>
      <c r="H220" s="42"/>
      <c r="I220" s="42"/>
      <c r="J220" s="42"/>
      <c r="K220" s="42"/>
      <c r="L220" s="42"/>
      <c r="M220" s="42"/>
    </row>
    <row r="221">
      <c r="A221" s="174"/>
      <c r="B221" s="175"/>
      <c r="C221" s="176"/>
      <c r="D221" s="175"/>
      <c r="E221" s="107"/>
      <c r="G221" s="42"/>
      <c r="H221" s="42"/>
      <c r="I221" s="42"/>
      <c r="J221" s="42"/>
      <c r="K221" s="42"/>
      <c r="L221" s="42"/>
      <c r="M221" s="42"/>
    </row>
    <row r="222">
      <c r="A222" s="174"/>
      <c r="B222" s="175"/>
      <c r="C222" s="176"/>
      <c r="D222" s="175"/>
      <c r="E222" s="107"/>
      <c r="G222" s="42"/>
      <c r="H222" s="42"/>
      <c r="I222" s="42"/>
      <c r="J222" s="42"/>
      <c r="K222" s="42"/>
      <c r="L222" s="42"/>
      <c r="M222" s="42"/>
    </row>
    <row r="223">
      <c r="A223" s="177"/>
      <c r="B223" s="178"/>
      <c r="C223" s="180"/>
      <c r="D223" s="180"/>
      <c r="E223" s="107"/>
      <c r="G223" s="42"/>
      <c r="H223" s="42"/>
      <c r="I223" s="42"/>
      <c r="J223" s="42"/>
      <c r="K223" s="42"/>
      <c r="L223" s="42"/>
      <c r="M223" s="42"/>
    </row>
    <row r="224">
      <c r="A224" s="177"/>
      <c r="B224" s="178"/>
      <c r="C224" s="180"/>
      <c r="D224" s="180"/>
      <c r="E224" s="107"/>
      <c r="G224" s="42"/>
      <c r="H224" s="42"/>
      <c r="I224" s="42"/>
      <c r="J224" s="42"/>
      <c r="K224" s="42"/>
      <c r="L224" s="42"/>
      <c r="M224" s="42"/>
    </row>
    <row r="225">
      <c r="A225" s="177"/>
      <c r="B225" s="178"/>
      <c r="C225" s="180"/>
      <c r="D225" s="180"/>
      <c r="E225" s="107"/>
      <c r="G225" s="42"/>
      <c r="H225" s="42"/>
      <c r="I225" s="42"/>
      <c r="J225" s="42"/>
      <c r="K225" s="42"/>
      <c r="L225" s="42"/>
      <c r="M225" s="42"/>
    </row>
    <row r="226">
      <c r="A226" s="203"/>
      <c r="B226" s="203"/>
      <c r="C226" s="203"/>
      <c r="D226" s="203"/>
      <c r="E226" s="107"/>
      <c r="G226" s="42"/>
      <c r="H226" s="42"/>
      <c r="I226" s="42"/>
      <c r="J226" s="42"/>
      <c r="K226" s="42"/>
      <c r="L226" s="42"/>
      <c r="M226" s="42"/>
    </row>
    <row r="227">
      <c r="A227" s="203"/>
      <c r="B227" s="203"/>
      <c r="C227" s="203"/>
      <c r="D227" s="203"/>
      <c r="E227" s="107"/>
      <c r="G227" s="42"/>
      <c r="H227" s="42"/>
      <c r="I227" s="42"/>
      <c r="J227" s="42"/>
      <c r="K227" s="42"/>
      <c r="L227" s="42"/>
      <c r="M227" s="42"/>
    </row>
    <row r="228">
      <c r="A228" s="203"/>
      <c r="B228" s="203"/>
      <c r="C228" s="203"/>
      <c r="D228" s="203"/>
      <c r="E228" s="107"/>
      <c r="G228" s="42"/>
      <c r="H228" s="42"/>
      <c r="I228" s="42"/>
      <c r="J228" s="42"/>
      <c r="K228" s="42"/>
      <c r="L228" s="42"/>
      <c r="M228" s="42"/>
    </row>
    <row r="229">
      <c r="A229" s="203"/>
      <c r="B229" s="203"/>
      <c r="C229" s="203"/>
      <c r="D229" s="203"/>
      <c r="E229" s="107"/>
      <c r="G229" s="42"/>
      <c r="H229" s="42"/>
      <c r="I229" s="42"/>
      <c r="J229" s="42"/>
      <c r="K229" s="42"/>
      <c r="L229" s="42"/>
      <c r="M229" s="42"/>
    </row>
    <row r="230">
      <c r="A230" s="203"/>
      <c r="B230" s="203"/>
      <c r="C230" s="203"/>
      <c r="D230" s="203"/>
      <c r="E230" s="107"/>
      <c r="G230" s="42"/>
      <c r="H230" s="42"/>
      <c r="I230" s="42"/>
      <c r="J230" s="42"/>
      <c r="K230" s="42"/>
      <c r="L230" s="42"/>
      <c r="M230" s="42"/>
    </row>
    <row r="231">
      <c r="A231" s="203"/>
      <c r="B231" s="203"/>
      <c r="C231" s="203"/>
      <c r="D231" s="203"/>
      <c r="E231" s="107"/>
      <c r="G231" s="42"/>
      <c r="H231" s="42"/>
      <c r="I231" s="42"/>
      <c r="J231" s="42"/>
      <c r="K231" s="42"/>
      <c r="L231" s="42"/>
      <c r="M231" s="42"/>
    </row>
    <row r="232">
      <c r="A232" s="203"/>
      <c r="B232" s="203"/>
      <c r="C232" s="203"/>
      <c r="D232" s="203"/>
      <c r="E232" s="107"/>
      <c r="G232" s="42"/>
      <c r="H232" s="42"/>
      <c r="I232" s="42"/>
      <c r="J232" s="42"/>
      <c r="K232" s="42"/>
      <c r="L232" s="42"/>
      <c r="M232" s="42"/>
    </row>
    <row r="233">
      <c r="A233" s="203"/>
      <c r="B233" s="203"/>
      <c r="C233" s="203"/>
      <c r="D233" s="203"/>
      <c r="E233" s="107"/>
      <c r="G233" s="42"/>
      <c r="H233" s="42"/>
      <c r="I233" s="42"/>
      <c r="J233" s="42"/>
      <c r="K233" s="42"/>
      <c r="L233" s="42"/>
      <c r="M233" s="42"/>
    </row>
    <row r="234">
      <c r="A234" s="203"/>
      <c r="B234" s="203"/>
      <c r="C234" s="203"/>
      <c r="D234" s="203"/>
      <c r="E234" s="107"/>
      <c r="G234" s="42"/>
      <c r="H234" s="42"/>
      <c r="I234" s="42"/>
      <c r="J234" s="42"/>
      <c r="K234" s="42"/>
      <c r="L234" s="42"/>
      <c r="M234" s="42"/>
    </row>
    <row r="235">
      <c r="A235" s="203"/>
      <c r="B235" s="203"/>
      <c r="C235" s="203"/>
      <c r="D235" s="203"/>
      <c r="E235" s="107"/>
      <c r="G235" s="42"/>
      <c r="H235" s="42"/>
      <c r="I235" s="42"/>
      <c r="J235" s="42"/>
      <c r="K235" s="42"/>
      <c r="L235" s="42"/>
      <c r="M235" s="42"/>
    </row>
    <row r="236">
      <c r="A236" s="203"/>
      <c r="B236" s="203"/>
      <c r="C236" s="203"/>
      <c r="D236" s="203"/>
      <c r="E236" s="132"/>
      <c r="G236" s="42"/>
      <c r="H236" s="42"/>
      <c r="I236" s="42"/>
      <c r="J236" s="42"/>
      <c r="K236" s="42"/>
      <c r="L236" s="42"/>
      <c r="M236" s="42"/>
    </row>
    <row r="237">
      <c r="A237" s="203"/>
      <c r="B237" s="203"/>
      <c r="C237" s="203"/>
      <c r="D237" s="203"/>
      <c r="E237" s="107"/>
      <c r="G237" s="42"/>
      <c r="H237" s="42"/>
      <c r="I237" s="42"/>
      <c r="J237" s="42"/>
      <c r="K237" s="42"/>
      <c r="L237" s="42"/>
      <c r="M237" s="42"/>
    </row>
    <row r="238">
      <c r="A238" s="203"/>
      <c r="B238" s="203"/>
      <c r="C238" s="203"/>
      <c r="D238" s="203"/>
      <c r="E238" s="107"/>
      <c r="G238" s="42"/>
      <c r="H238" s="42"/>
      <c r="I238" s="42"/>
      <c r="J238" s="42"/>
      <c r="K238" s="42"/>
      <c r="L238" s="42"/>
      <c r="M238" s="42"/>
    </row>
    <row r="239">
      <c r="A239" s="203"/>
      <c r="B239" s="203"/>
      <c r="C239" s="203"/>
      <c r="D239" s="203"/>
      <c r="E239" s="107"/>
      <c r="G239" s="42"/>
      <c r="H239" s="42"/>
      <c r="I239" s="42"/>
      <c r="J239" s="42"/>
      <c r="K239" s="42"/>
      <c r="L239" s="42"/>
      <c r="M239" s="42"/>
    </row>
    <row r="240">
      <c r="A240" s="203"/>
      <c r="B240" s="203"/>
      <c r="C240" s="203"/>
      <c r="D240" s="203"/>
      <c r="E240" s="107"/>
      <c r="G240" s="42"/>
      <c r="H240" s="42"/>
      <c r="I240" s="42"/>
      <c r="J240" s="42"/>
      <c r="K240" s="42"/>
      <c r="L240" s="42"/>
      <c r="M240" s="42"/>
    </row>
    <row r="241">
      <c r="A241" s="203"/>
      <c r="B241" s="203"/>
      <c r="C241" s="203"/>
      <c r="D241" s="203"/>
      <c r="E241" s="107"/>
      <c r="G241" s="42"/>
      <c r="H241" s="42"/>
      <c r="I241" s="42"/>
      <c r="J241" s="42"/>
      <c r="K241" s="42"/>
      <c r="L241" s="42"/>
      <c r="M241" s="42"/>
    </row>
    <row r="242">
      <c r="A242" s="203"/>
      <c r="B242" s="203"/>
      <c r="C242" s="203"/>
      <c r="D242" s="203"/>
      <c r="E242" s="107"/>
      <c r="G242" s="42"/>
      <c r="H242" s="42"/>
      <c r="I242" s="42"/>
      <c r="J242" s="42"/>
      <c r="K242" s="42"/>
      <c r="L242" s="42"/>
      <c r="M242" s="42"/>
    </row>
    <row r="243">
      <c r="A243" s="203"/>
      <c r="B243" s="203"/>
      <c r="C243" s="203"/>
      <c r="D243" s="203"/>
      <c r="E243" s="107"/>
      <c r="G243" s="42"/>
      <c r="H243" s="42"/>
      <c r="I243" s="42"/>
      <c r="J243" s="42"/>
      <c r="K243" s="42"/>
      <c r="L243" s="42"/>
      <c r="M243" s="42"/>
    </row>
    <row r="244">
      <c r="A244" s="203"/>
      <c r="B244" s="203"/>
      <c r="C244" s="203"/>
      <c r="D244" s="203"/>
      <c r="E244" s="107"/>
      <c r="G244" s="42"/>
      <c r="H244" s="42"/>
      <c r="I244" s="42"/>
      <c r="J244" s="42"/>
      <c r="K244" s="42"/>
      <c r="L244" s="42"/>
      <c r="M244" s="42"/>
    </row>
    <row r="245">
      <c r="A245" s="181"/>
      <c r="B245" s="178"/>
      <c r="C245" s="182"/>
      <c r="D245" s="183"/>
      <c r="E245" s="107"/>
      <c r="G245" s="42"/>
      <c r="H245" s="42"/>
      <c r="I245" s="42"/>
      <c r="J245" s="42"/>
      <c r="K245" s="42"/>
      <c r="L245" s="42"/>
      <c r="M245" s="42"/>
    </row>
    <row r="246">
      <c r="A246" s="181"/>
      <c r="B246" s="178"/>
      <c r="C246" s="182"/>
      <c r="D246" s="183"/>
      <c r="E246" s="107"/>
      <c r="G246" s="42"/>
      <c r="H246" s="42"/>
      <c r="I246" s="42"/>
      <c r="J246" s="42"/>
      <c r="K246" s="42"/>
      <c r="L246" s="42"/>
      <c r="M246" s="42"/>
    </row>
    <row r="247">
      <c r="A247" s="181"/>
      <c r="B247" s="178"/>
      <c r="C247" s="182"/>
      <c r="D247" s="183"/>
      <c r="E247" s="107"/>
      <c r="G247" s="42"/>
      <c r="H247" s="42"/>
      <c r="I247" s="42"/>
      <c r="J247" s="42"/>
      <c r="K247" s="42"/>
      <c r="L247" s="42"/>
      <c r="M247" s="42"/>
    </row>
    <row r="248">
      <c r="A248" s="181"/>
      <c r="B248" s="178"/>
      <c r="C248" s="182"/>
      <c r="D248" s="183"/>
      <c r="E248" s="107"/>
      <c r="G248" s="42"/>
      <c r="H248" s="42"/>
      <c r="I248" s="42"/>
      <c r="J248" s="42"/>
      <c r="K248" s="42"/>
      <c r="L248" s="42"/>
      <c r="M248" s="42"/>
    </row>
    <row r="249">
      <c r="A249" s="181"/>
      <c r="B249" s="178"/>
      <c r="C249" s="182"/>
      <c r="D249" s="183"/>
      <c r="E249" s="107"/>
      <c r="G249" s="42"/>
      <c r="H249" s="42"/>
      <c r="I249" s="42"/>
      <c r="J249" s="42"/>
      <c r="K249" s="42"/>
      <c r="L249" s="42"/>
      <c r="M249" s="42"/>
    </row>
    <row r="250">
      <c r="A250" s="181"/>
      <c r="B250" s="178"/>
      <c r="C250" s="182"/>
      <c r="D250" s="183"/>
      <c r="E250" s="107"/>
      <c r="G250" s="42"/>
      <c r="H250" s="42"/>
      <c r="I250" s="42"/>
      <c r="J250" s="42"/>
      <c r="K250" s="42"/>
      <c r="L250" s="42"/>
      <c r="M250" s="42"/>
    </row>
    <row r="251">
      <c r="A251" s="181"/>
      <c r="B251" s="178"/>
      <c r="C251" s="182"/>
      <c r="D251" s="183"/>
      <c r="E251" s="107"/>
      <c r="G251" s="42"/>
      <c r="H251" s="42"/>
      <c r="I251" s="42"/>
      <c r="J251" s="42"/>
      <c r="K251" s="42"/>
      <c r="L251" s="42"/>
      <c r="M251" s="42"/>
    </row>
    <row r="252">
      <c r="A252" s="181"/>
      <c r="B252" s="178"/>
      <c r="C252" s="182"/>
      <c r="D252" s="183"/>
      <c r="E252" s="107"/>
      <c r="G252" s="42"/>
      <c r="H252" s="42"/>
      <c r="I252" s="42"/>
      <c r="J252" s="42"/>
      <c r="K252" s="42"/>
      <c r="L252" s="42"/>
      <c r="M252" s="42"/>
    </row>
    <row r="253">
      <c r="A253" s="181"/>
      <c r="B253" s="178"/>
      <c r="C253" s="182"/>
      <c r="D253" s="183"/>
      <c r="E253" s="107"/>
      <c r="G253" s="42"/>
      <c r="H253" s="42"/>
      <c r="I253" s="42"/>
      <c r="J253" s="42"/>
      <c r="K253" s="42"/>
      <c r="L253" s="42"/>
      <c r="M253" s="42"/>
    </row>
    <row r="254">
      <c r="A254" s="181"/>
      <c r="B254" s="178"/>
      <c r="C254" s="182"/>
      <c r="D254" s="183"/>
      <c r="E254" s="107"/>
      <c r="G254" s="42"/>
      <c r="H254" s="42"/>
      <c r="I254" s="42"/>
      <c r="J254" s="42"/>
      <c r="K254" s="42"/>
      <c r="L254" s="42"/>
      <c r="M254" s="42"/>
    </row>
    <row r="255">
      <c r="A255" s="181"/>
      <c r="B255" s="178"/>
      <c r="C255" s="182"/>
      <c r="D255" s="183"/>
      <c r="E255" s="107"/>
      <c r="G255" s="42"/>
      <c r="H255" s="42"/>
      <c r="I255" s="42"/>
      <c r="J255" s="42"/>
      <c r="K255" s="42"/>
      <c r="L255" s="42"/>
      <c r="M255" s="42"/>
    </row>
    <row r="256">
      <c r="A256" s="181"/>
      <c r="B256" s="178"/>
      <c r="C256" s="182"/>
      <c r="D256" s="183"/>
      <c r="E256" s="107"/>
      <c r="G256" s="42"/>
      <c r="H256" s="42"/>
      <c r="I256" s="42"/>
      <c r="J256" s="42"/>
      <c r="K256" s="42"/>
      <c r="L256" s="42"/>
      <c r="M256" s="42"/>
    </row>
    <row r="257">
      <c r="A257" s="181"/>
      <c r="B257" s="178"/>
      <c r="C257" s="182"/>
      <c r="D257" s="183"/>
      <c r="E257" s="107"/>
      <c r="G257" s="42"/>
      <c r="H257" s="42"/>
      <c r="I257" s="42"/>
      <c r="J257" s="42"/>
      <c r="K257" s="42"/>
      <c r="L257" s="42"/>
      <c r="M257" s="42"/>
    </row>
    <row r="258">
      <c r="A258" s="44"/>
      <c r="B258" s="113"/>
      <c r="C258" s="93"/>
      <c r="D258" s="41"/>
      <c r="E258" s="107"/>
      <c r="G258" s="42"/>
      <c r="H258" s="42"/>
      <c r="I258" s="42"/>
      <c r="J258" s="42"/>
      <c r="K258" s="42"/>
      <c r="L258" s="42"/>
      <c r="M258" s="42"/>
    </row>
    <row r="259">
      <c r="A259" s="44"/>
      <c r="B259" s="113"/>
      <c r="C259" s="93"/>
      <c r="D259" s="41"/>
      <c r="E259" s="107"/>
      <c r="G259" s="42"/>
      <c r="H259" s="42"/>
      <c r="I259" s="42"/>
      <c r="J259" s="42"/>
      <c r="K259" s="42"/>
      <c r="L259" s="42"/>
      <c r="M259" s="42"/>
    </row>
    <row r="260">
      <c r="A260" s="44"/>
      <c r="B260" s="113"/>
      <c r="C260" s="93"/>
      <c r="D260" s="41"/>
      <c r="E260" s="107"/>
      <c r="G260" s="42"/>
      <c r="H260" s="42"/>
      <c r="I260" s="42"/>
      <c r="J260" s="42"/>
      <c r="K260" s="42"/>
      <c r="L260" s="42"/>
      <c r="M260" s="42"/>
    </row>
    <row r="261">
      <c r="A261" s="44"/>
      <c r="B261" s="113"/>
      <c r="C261" s="93"/>
      <c r="D261" s="41"/>
      <c r="E261" s="107"/>
      <c r="G261" s="42"/>
      <c r="H261" s="42"/>
      <c r="I261" s="42"/>
      <c r="J261" s="42"/>
      <c r="K261" s="42"/>
      <c r="L261" s="42"/>
      <c r="M261" s="42"/>
    </row>
  </sheetData>
  <autoFilter ref="$A$31:$D$108">
    <sortState ref="A31:D108">
      <sortCondition descending="1" ref="C31:C108"/>
      <sortCondition ref="A31:A108"/>
    </sortState>
  </autoFilter>
  <mergeCells count="4">
    <mergeCell ref="A1:H2"/>
    <mergeCell ref="A4:D4"/>
    <mergeCell ref="G4:H4"/>
    <mergeCell ref="J4:M4"/>
  </mergeCells>
  <conditionalFormatting sqref="D6:E17">
    <cfRule type="cellIs" dxfId="0" priority="1" operator="greaterThan">
      <formula>0</formula>
    </cfRule>
  </conditionalFormatting>
  <conditionalFormatting sqref="D6:D16 E6:E17">
    <cfRule type="cellIs" dxfId="1" priority="2" operator="lessThan">
      <formula>0</formula>
    </cfRule>
  </conditionalFormatting>
  <dataValidations>
    <dataValidation type="list" allowBlank="1" sqref="B20:B27 D32 D34 D60:D61 B31:B108 B114:B117 D147 D150 D152 D154 D157 D162 D164 D168 D171:D172 D177:D179 D182:D183 D185 D188:D193 D195:D198 D200 B122:B203 D202:D204 D211:D216 D220:D222 B205:B225 B245:B261">
      <formula1>'Hidden list and Figures'!$A$3:$A$15</formula1>
    </dataValidation>
    <dataValidation type="custom" allowBlank="1" showDropDown="1" showInputMessage="1" prompt="Select a date" sqref="A32:A45 A47 A50 A52:A53 A56:A107 A114:A117 A122:A225 A245:A261">
      <formula1>OR(NOT(ISERROR(DATEVALUE(A32))), AND(ISNUMBER(A32), LEFT(CELL("format", A32))="D"))</formula1>
    </dataValidation>
    <dataValidation type="list" allowBlank="1" sqref="B204">
      <formula1>'Hidden list and Figures'!$A$3:$A$15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13" t="s">
        <v>1347</v>
      </c>
      <c r="B1" s="217">
        <f>120000+148700</f>
        <v>268700</v>
      </c>
      <c r="E1" s="13" t="s">
        <v>1348</v>
      </c>
    </row>
    <row r="2">
      <c r="A2" s="218" t="s">
        <v>1349</v>
      </c>
      <c r="B2" s="219">
        <f>'MartinRachel Pay Stub'!B20*2+'MartinRachel Pay Stub'!E20*2</f>
        <v>9280.96</v>
      </c>
      <c r="E2" s="50">
        <v>45108.0</v>
      </c>
      <c r="F2" s="50">
        <v>45139.0</v>
      </c>
      <c r="G2" s="50">
        <v>45170.0</v>
      </c>
      <c r="H2" s="50">
        <v>45200.0</v>
      </c>
      <c r="I2" s="50">
        <v>45231.0</v>
      </c>
      <c r="J2" s="50">
        <v>45261.0</v>
      </c>
      <c r="K2" s="50">
        <v>45292.0</v>
      </c>
      <c r="L2" s="50">
        <v>45323.0</v>
      </c>
      <c r="M2" s="50">
        <v>45352.0</v>
      </c>
      <c r="N2" s="50">
        <v>45383.0</v>
      </c>
      <c r="O2" s="50">
        <v>45413.0</v>
      </c>
      <c r="P2" s="50">
        <v>45444.0</v>
      </c>
      <c r="Q2" s="50">
        <v>45474.0</v>
      </c>
      <c r="R2" s="50">
        <v>45505.0</v>
      </c>
      <c r="S2" s="19" t="s">
        <v>268</v>
      </c>
    </row>
    <row r="3">
      <c r="A3" s="218" t="s">
        <v>1350</v>
      </c>
      <c r="B3" s="219">
        <f>'July 2023 '!B16</f>
        <v>4750</v>
      </c>
      <c r="D3" s="19" t="s">
        <v>9</v>
      </c>
      <c r="E3" s="220">
        <f>sum('July 2023 '!$H$6:$H$7)</f>
        <v>9280.96</v>
      </c>
      <c r="F3" s="221">
        <f>sum('Aug 2023'!$H$6:$H$7)</f>
        <v>9377.86</v>
      </c>
      <c r="G3" s="220">
        <f>sum('Sept 2023'!$H$6:$H$7)</f>
        <v>9169</v>
      </c>
      <c r="H3" s="220">
        <f>sum('Oct 2023'!$H$6:$H$7)</f>
        <v>10476</v>
      </c>
      <c r="I3" s="220">
        <f>sum('Nov 2023'!$H$6:$H$7)</f>
        <v>15504</v>
      </c>
      <c r="J3" s="221">
        <f>sum(3702,2649,3702,2261.29)</f>
        <v>12314.29</v>
      </c>
      <c r="K3" s="221">
        <f>sum(1473*2+2607*2+4500)</f>
        <v>12660</v>
      </c>
      <c r="L3" s="220">
        <f>'Feb 2024'!H8</f>
        <v>8286</v>
      </c>
      <c r="M3" s="220">
        <f>'March 2024'!$H$8</f>
        <v>8868</v>
      </c>
      <c r="N3" s="220">
        <f>'April 2024'!$H$8</f>
        <v>9200</v>
      </c>
      <c r="O3" s="220">
        <f>'May 2024'!$H$8</f>
        <v>12024</v>
      </c>
      <c r="P3" s="220">
        <f>'June 2024'!$H$8</f>
        <v>12927</v>
      </c>
      <c r="Q3" s="220">
        <f>'July 2024'!$H$8</f>
        <v>12900</v>
      </c>
      <c r="R3" s="220">
        <f>'Aug 2024'!$H$8</f>
        <v>12900</v>
      </c>
    </row>
    <row r="4">
      <c r="A4" s="218" t="s">
        <v>1351</v>
      </c>
      <c r="B4" s="219">
        <f>B2-B3</f>
        <v>4530.96</v>
      </c>
      <c r="D4" s="19" t="s">
        <v>30</v>
      </c>
      <c r="E4" s="220">
        <f>'July 2023 '!$H$10</f>
        <v>5549.63</v>
      </c>
      <c r="F4" s="221">
        <f>'Aug 2023'!$H$10</f>
        <v>5352.45</v>
      </c>
      <c r="G4" s="220">
        <f>'Sept 2023'!$H$10</f>
        <v>5661.46</v>
      </c>
      <c r="H4" s="220">
        <f>'Oct 2023'!$H$10</f>
        <v>6435.75</v>
      </c>
      <c r="I4" s="220">
        <f>'Nov 2023'!$H$10</f>
        <v>10830.42</v>
      </c>
      <c r="J4" s="220">
        <f>'Dec 2023'!C16</f>
        <v>7536.32</v>
      </c>
      <c r="K4" s="220">
        <f>'Jan 2024'!H10</f>
        <v>7230.99</v>
      </c>
      <c r="L4" s="220">
        <f>'Feb 2024'!H11</f>
        <v>6377.04</v>
      </c>
      <c r="M4" s="220">
        <f>'March 2024'!H11</f>
        <v>9041.876667</v>
      </c>
      <c r="N4" s="220">
        <f>'April 2024'!$H$11</f>
        <v>13059.36667</v>
      </c>
      <c r="O4" s="220">
        <f>'May 2024'!$H$11</f>
        <v>6570.346667</v>
      </c>
      <c r="P4" s="220">
        <f>'June 2024'!$H$11</f>
        <v>8363.716667</v>
      </c>
      <c r="Q4" s="220">
        <f>'July 2024'!$H$11</f>
        <v>6564.97</v>
      </c>
      <c r="R4" s="220">
        <f>'Aug 2024'!$H$11</f>
        <v>8643.159524</v>
      </c>
    </row>
    <row r="5">
      <c r="A5" s="218" t="s">
        <v>1352</v>
      </c>
      <c r="B5" s="219">
        <f>'MartinRachel Pay Stub'!B18*2*12*1.1</f>
        <v>16356.912</v>
      </c>
      <c r="D5" s="19" t="s">
        <v>1353</v>
      </c>
      <c r="E5" s="220">
        <f t="shared" ref="E5:R5" si="1">E3-E4</f>
        <v>3731.33</v>
      </c>
      <c r="F5" s="221">
        <f t="shared" si="1"/>
        <v>4025.41</v>
      </c>
      <c r="G5" s="220">
        <f t="shared" si="1"/>
        <v>3507.54</v>
      </c>
      <c r="H5" s="220">
        <f t="shared" si="1"/>
        <v>4040.25</v>
      </c>
      <c r="I5" s="220">
        <f t="shared" si="1"/>
        <v>4673.58</v>
      </c>
      <c r="J5" s="221">
        <f t="shared" si="1"/>
        <v>4777.97</v>
      </c>
      <c r="K5" s="221">
        <f t="shared" si="1"/>
        <v>5429.01</v>
      </c>
      <c r="L5" s="220">
        <f t="shared" si="1"/>
        <v>1908.96</v>
      </c>
      <c r="M5" s="220">
        <f t="shared" si="1"/>
        <v>-173.8766667</v>
      </c>
      <c r="N5" s="220">
        <f t="shared" si="1"/>
        <v>-3859.366667</v>
      </c>
      <c r="O5" s="220">
        <f t="shared" si="1"/>
        <v>5453.653333</v>
      </c>
      <c r="P5" s="220">
        <f t="shared" si="1"/>
        <v>4563.283333</v>
      </c>
      <c r="Q5" s="220">
        <f t="shared" si="1"/>
        <v>6335.03</v>
      </c>
      <c r="R5" s="220">
        <f t="shared" si="1"/>
        <v>4256.840476</v>
      </c>
    </row>
    <row r="6">
      <c r="A6" s="13" t="s">
        <v>1354</v>
      </c>
      <c r="B6" s="217">
        <f>B4*12+B5</f>
        <v>70728.432</v>
      </c>
      <c r="D6" s="19" t="s">
        <v>1355</v>
      </c>
      <c r="I6" s="58">
        <v>1600.0</v>
      </c>
      <c r="J6" s="58">
        <v>5600.0</v>
      </c>
      <c r="K6" s="58">
        <v>10000.0</v>
      </c>
      <c r="N6" s="58">
        <v>10000.0</v>
      </c>
      <c r="O6" s="58">
        <v>8500.0</v>
      </c>
      <c r="P6" s="58">
        <v>9300.0</v>
      </c>
      <c r="Q6" s="58">
        <v>8500.0</v>
      </c>
      <c r="R6" s="58">
        <v>8000.0</v>
      </c>
      <c r="S6" s="58">
        <v>5000.0</v>
      </c>
    </row>
    <row r="7">
      <c r="A7" s="13" t="s">
        <v>1356</v>
      </c>
      <c r="B7" s="217">
        <f>average(E5:K5)*12+B5</f>
        <v>68102.78057</v>
      </c>
      <c r="N7" s="58"/>
    </row>
    <row r="8">
      <c r="A8" s="13" t="s">
        <v>1357</v>
      </c>
      <c r="B8" s="217">
        <f>sum(E5:K5)+sum(J8:O8)</f>
        <v>31168.84</v>
      </c>
      <c r="D8" s="19" t="s">
        <v>1358</v>
      </c>
      <c r="E8" s="221">
        <f>'July 2023 '!H16</f>
        <v>500</v>
      </c>
      <c r="F8" s="221">
        <f>'Aug 2023'!H16</f>
        <v>746.4</v>
      </c>
      <c r="G8" s="221">
        <f>'Sept 2023'!H16</f>
        <v>1225.8</v>
      </c>
      <c r="H8" s="221">
        <f>'Oct 2023'!H16</f>
        <v>659.7</v>
      </c>
      <c r="I8" s="221">
        <f>'Nov 2023'!H16</f>
        <v>-614.34</v>
      </c>
      <c r="J8" s="221">
        <f>'Dec 2023'!H16</f>
        <v>-135.34</v>
      </c>
      <c r="K8" s="221">
        <f>'Jan 2024'!H16</f>
        <v>-75.34</v>
      </c>
      <c r="L8" s="221">
        <f>'Feb 2024'!H17</f>
        <v>150.46</v>
      </c>
      <c r="M8" s="221">
        <f>'March 2024'!$H$17</f>
        <v>181.28</v>
      </c>
      <c r="N8" s="221">
        <f>'April 2024'!$H$17</f>
        <v>503.24</v>
      </c>
      <c r="O8" s="221">
        <f>'May 2024'!$H$17</f>
        <v>359.45</v>
      </c>
      <c r="P8" s="221">
        <f>'June 2024'!$H$17</f>
        <v>859.45</v>
      </c>
      <c r="Q8" s="221">
        <f>'July 2024'!$H$17</f>
        <v>749.49</v>
      </c>
    </row>
    <row r="9">
      <c r="A9" s="13" t="s">
        <v>1359</v>
      </c>
      <c r="B9" s="217">
        <f>SUM(B10:B13)</f>
        <v>69000</v>
      </c>
      <c r="D9" s="19" t="s">
        <v>1360</v>
      </c>
      <c r="I9" s="58">
        <v>8511.0</v>
      </c>
    </row>
    <row r="10">
      <c r="A10" s="222" t="s">
        <v>1361</v>
      </c>
      <c r="B10" s="223">
        <v>22500.0</v>
      </c>
    </row>
    <row r="11">
      <c r="A11" s="224" t="s">
        <v>1362</v>
      </c>
      <c r="B11" s="223">
        <v>22500.0</v>
      </c>
    </row>
    <row r="12">
      <c r="A12" s="224" t="s">
        <v>1363</v>
      </c>
      <c r="B12" s="223">
        <v>20000.0</v>
      </c>
    </row>
    <row r="13">
      <c r="A13" s="224" t="s">
        <v>1364</v>
      </c>
      <c r="B13" s="223">
        <v>4000.0</v>
      </c>
    </row>
    <row r="15">
      <c r="A15" s="1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1.38"/>
  </cols>
  <sheetData>
    <row r="2">
      <c r="B2" s="13" t="s">
        <v>1365</v>
      </c>
      <c r="C2" s="13" t="s">
        <v>1366</v>
      </c>
    </row>
    <row r="3">
      <c r="B3" s="19" t="s">
        <v>1367</v>
      </c>
      <c r="C3" s="19" t="s">
        <v>1368</v>
      </c>
    </row>
    <row r="4">
      <c r="B4" s="19" t="s">
        <v>1369</v>
      </c>
      <c r="C4" s="19" t="s">
        <v>1370</v>
      </c>
    </row>
    <row r="5">
      <c r="B5" s="19" t="s">
        <v>1371</v>
      </c>
      <c r="C5" s="19" t="s">
        <v>1372</v>
      </c>
    </row>
    <row r="6">
      <c r="B6" s="19" t="s">
        <v>1373</v>
      </c>
      <c r="C6" s="19" t="s">
        <v>1374</v>
      </c>
    </row>
    <row r="7">
      <c r="B7" s="19" t="s">
        <v>1375</v>
      </c>
      <c r="C7" s="19" t="s">
        <v>1376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6" max="6" width="12.38"/>
  </cols>
  <sheetData>
    <row r="1">
      <c r="F1" s="225"/>
      <c r="M1" s="225"/>
    </row>
    <row r="2">
      <c r="F2" s="225"/>
      <c r="M2" s="225"/>
    </row>
    <row r="3">
      <c r="F3" s="225"/>
      <c r="M3" s="225"/>
    </row>
    <row r="4">
      <c r="A4" s="226" t="s">
        <v>1377</v>
      </c>
      <c r="F4" s="225"/>
      <c r="H4" s="227" t="s">
        <v>1378</v>
      </c>
      <c r="M4" s="225"/>
    </row>
    <row r="5">
      <c r="A5" s="228" t="s">
        <v>65</v>
      </c>
      <c r="D5" s="229" t="s">
        <v>200</v>
      </c>
      <c r="F5" s="225"/>
      <c r="H5" s="228" t="s">
        <v>65</v>
      </c>
      <c r="K5" s="229" t="s">
        <v>200</v>
      </c>
      <c r="M5" s="225"/>
    </row>
    <row r="6">
      <c r="A6" s="230" t="s">
        <v>1379</v>
      </c>
      <c r="B6" s="231">
        <v>6195.0</v>
      </c>
      <c r="C6" s="232"/>
      <c r="D6" s="230" t="s">
        <v>1379</v>
      </c>
      <c r="E6" s="233">
        <v>5000.0</v>
      </c>
      <c r="F6" s="234"/>
      <c r="H6" s="230" t="s">
        <v>1379</v>
      </c>
      <c r="I6" s="231">
        <v>6195.0</v>
      </c>
      <c r="J6" s="232"/>
      <c r="K6" s="230" t="s">
        <v>1379</v>
      </c>
      <c r="L6" s="233">
        <v>5000.0</v>
      </c>
      <c r="M6" s="234"/>
    </row>
    <row r="7">
      <c r="A7" s="235" t="s">
        <v>1380</v>
      </c>
      <c r="B7" s="236">
        <f>sum(B8:B11)</f>
        <v>264.3</v>
      </c>
      <c r="C7" s="237"/>
      <c r="D7" s="235" t="s">
        <v>1381</v>
      </c>
      <c r="E7" s="237">
        <f>sum(E8:E12)</f>
        <v>750</v>
      </c>
      <c r="F7" s="225"/>
      <c r="H7" s="235" t="s">
        <v>1380</v>
      </c>
      <c r="I7" s="236">
        <f>sum(I8:I11)</f>
        <v>264.3</v>
      </c>
      <c r="J7" s="237"/>
      <c r="K7" s="235" t="s">
        <v>1381</v>
      </c>
      <c r="L7" s="237">
        <f>sum(L8:L12)</f>
        <v>750</v>
      </c>
      <c r="M7" s="225"/>
    </row>
    <row r="8">
      <c r="A8" s="19" t="s">
        <v>1382</v>
      </c>
      <c r="B8" s="58">
        <v>139.0</v>
      </c>
      <c r="F8" s="225"/>
      <c r="H8" s="19" t="s">
        <v>1382</v>
      </c>
      <c r="I8" s="58">
        <v>139.0</v>
      </c>
      <c r="M8" s="225"/>
    </row>
    <row r="9">
      <c r="A9" s="19" t="s">
        <v>1383</v>
      </c>
      <c r="B9" s="58">
        <v>15.0</v>
      </c>
      <c r="F9" s="225"/>
      <c r="H9" s="19" t="s">
        <v>1383</v>
      </c>
      <c r="I9" s="58">
        <v>15.0</v>
      </c>
      <c r="M9" s="225"/>
    </row>
    <row r="10">
      <c r="A10" s="19" t="s">
        <v>1384</v>
      </c>
      <c r="B10" s="58">
        <v>103.0</v>
      </c>
      <c r="F10" s="225"/>
      <c r="H10" s="19" t="s">
        <v>1384</v>
      </c>
      <c r="I10" s="58">
        <v>103.0</v>
      </c>
      <c r="M10" s="225"/>
    </row>
    <row r="11">
      <c r="A11" s="19" t="s">
        <v>720</v>
      </c>
      <c r="B11" s="79">
        <v>7.3</v>
      </c>
      <c r="F11" s="225"/>
      <c r="H11" s="19" t="s">
        <v>720</v>
      </c>
      <c r="I11" s="79">
        <v>7.3</v>
      </c>
      <c r="M11" s="225"/>
    </row>
    <row r="12">
      <c r="A12" s="230" t="s">
        <v>1385</v>
      </c>
      <c r="B12" s="231">
        <v>929.0</v>
      </c>
      <c r="C12" s="238">
        <v>0.15</v>
      </c>
      <c r="D12" s="230" t="s">
        <v>1385</v>
      </c>
      <c r="E12" s="239">
        <f>0.15*E6</f>
        <v>750</v>
      </c>
      <c r="F12" s="240">
        <v>0.15</v>
      </c>
      <c r="H12" s="230" t="s">
        <v>1385</v>
      </c>
      <c r="I12" s="231">
        <v>929.0</v>
      </c>
      <c r="J12" s="238">
        <v>0.15</v>
      </c>
      <c r="K12" s="230" t="s">
        <v>1385</v>
      </c>
      <c r="L12" s="239">
        <f>0.15*L6</f>
        <v>750</v>
      </c>
      <c r="M12" s="240">
        <v>0.15</v>
      </c>
    </row>
    <row r="13">
      <c r="A13" s="235" t="s">
        <v>588</v>
      </c>
      <c r="B13" s="236">
        <f>SUM(B14:B16)</f>
        <v>1402.9</v>
      </c>
      <c r="C13" s="237"/>
      <c r="D13" s="235" t="s">
        <v>588</v>
      </c>
      <c r="E13" s="241">
        <f>SUM(E14:E16)</f>
        <v>785.45</v>
      </c>
      <c r="F13" s="225"/>
      <c r="H13" s="235" t="s">
        <v>588</v>
      </c>
      <c r="I13" s="236">
        <f>SUM(I14:I16)</f>
        <v>1402.9</v>
      </c>
      <c r="J13" s="237"/>
      <c r="K13" s="235" t="s">
        <v>588</v>
      </c>
      <c r="L13" s="241">
        <f>SUM(L14:L16)</f>
        <v>785.45</v>
      </c>
      <c r="M13" s="225"/>
    </row>
    <row r="14">
      <c r="A14" s="19" t="s">
        <v>1386</v>
      </c>
      <c r="B14" s="58">
        <v>949.0</v>
      </c>
      <c r="D14" s="19" t="s">
        <v>1386</v>
      </c>
      <c r="E14" s="79">
        <v>297.31</v>
      </c>
      <c r="F14" s="225"/>
      <c r="H14" s="19" t="s">
        <v>1386</v>
      </c>
      <c r="I14" s="58">
        <v>949.0</v>
      </c>
      <c r="K14" s="19" t="s">
        <v>1386</v>
      </c>
      <c r="L14" s="79">
        <v>297.31</v>
      </c>
      <c r="M14" s="225"/>
    </row>
    <row r="15">
      <c r="A15" s="19" t="s">
        <v>1387</v>
      </c>
      <c r="B15" s="79">
        <v>367.86</v>
      </c>
      <c r="D15" s="19" t="s">
        <v>1387</v>
      </c>
      <c r="E15" s="79">
        <v>418.61</v>
      </c>
      <c r="F15" s="225"/>
      <c r="H15" s="19" t="s">
        <v>1387</v>
      </c>
      <c r="I15" s="79">
        <v>367.86</v>
      </c>
      <c r="K15" s="19" t="s">
        <v>1387</v>
      </c>
      <c r="L15" s="79">
        <v>418.61</v>
      </c>
      <c r="M15" s="225"/>
    </row>
    <row r="16">
      <c r="A16" s="19" t="s">
        <v>1388</v>
      </c>
      <c r="B16" s="79">
        <v>86.04</v>
      </c>
      <c r="D16" s="19" t="s">
        <v>1388</v>
      </c>
      <c r="E16" s="79">
        <v>69.53</v>
      </c>
      <c r="F16" s="225"/>
      <c r="H16" s="19" t="s">
        <v>1388</v>
      </c>
      <c r="I16" s="79">
        <v>86.04</v>
      </c>
      <c r="K16" s="19" t="s">
        <v>1388</v>
      </c>
      <c r="L16" s="79">
        <v>69.53</v>
      </c>
      <c r="M16" s="225"/>
    </row>
    <row r="17">
      <c r="A17" s="242" t="s">
        <v>1389</v>
      </c>
      <c r="B17" s="241">
        <f>sum(B18:B19)</f>
        <v>1672.87</v>
      </c>
      <c r="C17" s="237"/>
      <c r="D17" s="237"/>
      <c r="E17" s="237">
        <f>sum(E18:E19)</f>
        <v>750</v>
      </c>
      <c r="F17" s="225"/>
      <c r="H17" s="242" t="s">
        <v>1389</v>
      </c>
      <c r="I17" s="241">
        <f>sum(I18:I19)</f>
        <v>1672.87</v>
      </c>
      <c r="J17" s="237"/>
      <c r="K17" s="237"/>
      <c r="L17" s="237">
        <f>sum(L18:L19)</f>
        <v>750</v>
      </c>
      <c r="M17" s="225"/>
    </row>
    <row r="18">
      <c r="A18" s="19" t="s">
        <v>1390</v>
      </c>
      <c r="B18" s="79">
        <v>619.58</v>
      </c>
      <c r="F18" s="225"/>
      <c r="H18" s="19" t="s">
        <v>1390</v>
      </c>
      <c r="I18" s="79">
        <v>619.58</v>
      </c>
      <c r="M18" s="225"/>
    </row>
    <row r="19">
      <c r="A19" s="19" t="s">
        <v>1391</v>
      </c>
      <c r="B19" s="79">
        <v>1053.29</v>
      </c>
      <c r="C19" s="71">
        <v>-0.17</v>
      </c>
      <c r="E19" s="217">
        <f>E6*0.15</f>
        <v>750</v>
      </c>
      <c r="F19" s="240">
        <v>-0.15</v>
      </c>
      <c r="H19" s="19" t="s">
        <v>1391</v>
      </c>
      <c r="I19" s="79">
        <v>1053.29</v>
      </c>
      <c r="J19" s="71">
        <v>-0.17</v>
      </c>
      <c r="L19" s="217">
        <f>L6*0.15</f>
        <v>750</v>
      </c>
      <c r="M19" s="240">
        <v>-0.15</v>
      </c>
    </row>
    <row r="20">
      <c r="A20" s="13" t="s">
        <v>1392</v>
      </c>
      <c r="B20" s="63">
        <f>B6-sum(B8:B12,B14:B16,B18:B19)</f>
        <v>1925.93</v>
      </c>
      <c r="E20" s="217">
        <f>E6-sum(E8:E12,E14:E16,E18:E19)</f>
        <v>2714.55</v>
      </c>
      <c r="F20" s="225"/>
      <c r="H20" s="243" t="s">
        <v>1392</v>
      </c>
      <c r="I20" s="244">
        <f>I6-sum(I8:I12,I14:I16,I18:I19)</f>
        <v>1925.93</v>
      </c>
      <c r="J20" s="245"/>
      <c r="K20" s="245"/>
      <c r="L20" s="246">
        <f>L6-sum(L8:L12,L14:L16,L18:L19)</f>
        <v>2714.55</v>
      </c>
      <c r="M20" s="225"/>
    </row>
    <row r="21">
      <c r="F21" s="225"/>
      <c r="H21" s="62" t="s">
        <v>1393</v>
      </c>
      <c r="I21" s="247">
        <f>1719*2</f>
        <v>3438</v>
      </c>
      <c r="J21" s="247"/>
      <c r="K21" s="247"/>
      <c r="L21" s="247">
        <f>2763*2</f>
        <v>5526</v>
      </c>
      <c r="M21" s="72" t="s">
        <v>1394</v>
      </c>
    </row>
    <row r="22">
      <c r="F22" s="225"/>
      <c r="M22" s="225"/>
    </row>
    <row r="23">
      <c r="F23" s="225"/>
      <c r="M23" s="225"/>
    </row>
    <row r="24">
      <c r="F24" s="225"/>
      <c r="M24" s="225"/>
    </row>
    <row r="25">
      <c r="F25" s="225"/>
      <c r="M25" s="225"/>
    </row>
    <row r="26">
      <c r="F26" s="225"/>
      <c r="M26" s="225"/>
    </row>
    <row r="27">
      <c r="F27" s="225"/>
      <c r="M27" s="225"/>
    </row>
    <row r="28">
      <c r="F28" s="225"/>
      <c r="M28" s="225"/>
    </row>
    <row r="29">
      <c r="F29" s="225"/>
      <c r="M29" s="225"/>
    </row>
    <row r="30">
      <c r="F30" s="225"/>
      <c r="M30" s="225"/>
    </row>
    <row r="31">
      <c r="F31" s="225"/>
      <c r="M31" s="225"/>
    </row>
    <row r="32">
      <c r="F32" s="225"/>
      <c r="M32" s="225"/>
    </row>
    <row r="33">
      <c r="F33" s="225"/>
      <c r="M33" s="225"/>
    </row>
    <row r="34">
      <c r="F34" s="225"/>
      <c r="M34" s="225"/>
    </row>
    <row r="35">
      <c r="F35" s="225"/>
      <c r="M35" s="225"/>
    </row>
    <row r="36">
      <c r="F36" s="225"/>
      <c r="M36" s="225"/>
    </row>
    <row r="37">
      <c r="F37" s="225"/>
      <c r="M37" s="225"/>
    </row>
    <row r="38">
      <c r="F38" s="225"/>
      <c r="M38" s="225"/>
    </row>
    <row r="39">
      <c r="F39" s="225"/>
      <c r="M39" s="225"/>
    </row>
    <row r="40">
      <c r="F40" s="225"/>
      <c r="M40" s="225"/>
    </row>
    <row r="41">
      <c r="F41" s="225"/>
      <c r="M41" s="225"/>
    </row>
    <row r="42">
      <c r="F42" s="225"/>
      <c r="M42" s="225"/>
    </row>
    <row r="43">
      <c r="F43" s="225"/>
      <c r="M43" s="225"/>
    </row>
    <row r="44">
      <c r="F44" s="225"/>
      <c r="M44" s="225"/>
    </row>
    <row r="45">
      <c r="F45" s="225"/>
      <c r="M45" s="225"/>
    </row>
    <row r="46">
      <c r="F46" s="225"/>
      <c r="M46" s="225"/>
    </row>
    <row r="47">
      <c r="F47" s="225"/>
      <c r="M47" s="225"/>
    </row>
    <row r="48">
      <c r="F48" s="225"/>
      <c r="M48" s="225"/>
    </row>
    <row r="49">
      <c r="F49" s="225"/>
      <c r="M49" s="225"/>
    </row>
    <row r="50">
      <c r="F50" s="225"/>
      <c r="M50" s="225"/>
    </row>
    <row r="51">
      <c r="F51" s="225"/>
      <c r="M51" s="225"/>
    </row>
    <row r="52">
      <c r="F52" s="225"/>
      <c r="M52" s="225"/>
    </row>
    <row r="53">
      <c r="F53" s="225"/>
      <c r="M53" s="225"/>
    </row>
    <row r="54">
      <c r="F54" s="225"/>
      <c r="M54" s="225"/>
    </row>
    <row r="55">
      <c r="F55" s="225"/>
      <c r="M55" s="225"/>
    </row>
    <row r="56">
      <c r="F56" s="225"/>
      <c r="M56" s="225"/>
    </row>
    <row r="57">
      <c r="F57" s="225"/>
      <c r="M57" s="225"/>
    </row>
    <row r="58">
      <c r="F58" s="225"/>
      <c r="M58" s="225"/>
    </row>
    <row r="59">
      <c r="F59" s="225"/>
      <c r="M59" s="225"/>
    </row>
    <row r="60">
      <c r="F60" s="225"/>
      <c r="M60" s="225"/>
    </row>
    <row r="61">
      <c r="F61" s="225"/>
      <c r="M61" s="225"/>
    </row>
    <row r="62">
      <c r="F62" s="225"/>
      <c r="M62" s="225"/>
    </row>
    <row r="63">
      <c r="F63" s="225"/>
      <c r="M63" s="225"/>
    </row>
    <row r="64">
      <c r="F64" s="225"/>
      <c r="M64" s="225"/>
    </row>
    <row r="65">
      <c r="F65" s="225"/>
      <c r="M65" s="225"/>
    </row>
    <row r="66">
      <c r="F66" s="225"/>
      <c r="M66" s="225"/>
    </row>
    <row r="67">
      <c r="F67" s="225"/>
      <c r="M67" s="225"/>
    </row>
    <row r="68">
      <c r="F68" s="225"/>
      <c r="M68" s="225"/>
    </row>
    <row r="69">
      <c r="F69" s="225"/>
      <c r="M69" s="225"/>
    </row>
    <row r="70">
      <c r="F70" s="225"/>
      <c r="M70" s="225"/>
    </row>
    <row r="71">
      <c r="F71" s="225"/>
      <c r="M71" s="225"/>
    </row>
    <row r="72">
      <c r="F72" s="225"/>
      <c r="M72" s="225"/>
    </row>
    <row r="73">
      <c r="F73" s="225"/>
      <c r="M73" s="225"/>
    </row>
    <row r="74">
      <c r="F74" s="225"/>
      <c r="M74" s="225"/>
    </row>
    <row r="75">
      <c r="F75" s="225"/>
      <c r="M75" s="225"/>
    </row>
    <row r="76">
      <c r="F76" s="225"/>
      <c r="M76" s="225"/>
    </row>
    <row r="77">
      <c r="F77" s="225"/>
      <c r="M77" s="225"/>
    </row>
    <row r="78">
      <c r="F78" s="225"/>
      <c r="M78" s="225"/>
    </row>
    <row r="79">
      <c r="F79" s="225"/>
      <c r="M79" s="225"/>
    </row>
    <row r="80">
      <c r="F80" s="225"/>
      <c r="M80" s="225"/>
    </row>
    <row r="81">
      <c r="F81" s="225"/>
      <c r="M81" s="225"/>
    </row>
    <row r="82">
      <c r="F82" s="225"/>
      <c r="M82" s="225"/>
    </row>
    <row r="83">
      <c r="F83" s="225"/>
      <c r="M83" s="225"/>
    </row>
    <row r="84">
      <c r="F84" s="225"/>
      <c r="M84" s="225"/>
    </row>
    <row r="85">
      <c r="F85" s="225"/>
      <c r="M85" s="225"/>
    </row>
    <row r="86">
      <c r="F86" s="225"/>
      <c r="M86" s="225"/>
    </row>
    <row r="87">
      <c r="F87" s="225"/>
      <c r="M87" s="225"/>
    </row>
    <row r="88">
      <c r="F88" s="225"/>
      <c r="M88" s="225"/>
    </row>
    <row r="89">
      <c r="F89" s="225"/>
      <c r="M89" s="225"/>
    </row>
    <row r="90">
      <c r="F90" s="225"/>
      <c r="M90" s="225"/>
    </row>
    <row r="91">
      <c r="F91" s="225"/>
      <c r="M91" s="225"/>
    </row>
    <row r="92">
      <c r="F92" s="225"/>
      <c r="M92" s="225"/>
    </row>
    <row r="93">
      <c r="F93" s="225"/>
      <c r="M93" s="225"/>
    </row>
    <row r="94">
      <c r="F94" s="225"/>
      <c r="M94" s="225"/>
    </row>
    <row r="95">
      <c r="F95" s="225"/>
      <c r="M95" s="225"/>
    </row>
    <row r="96">
      <c r="F96" s="225"/>
      <c r="M96" s="225"/>
    </row>
    <row r="97">
      <c r="F97" s="225"/>
      <c r="M97" s="225"/>
    </row>
    <row r="98">
      <c r="F98" s="225"/>
      <c r="M98" s="225"/>
    </row>
    <row r="99">
      <c r="F99" s="225"/>
      <c r="M99" s="225"/>
    </row>
    <row r="100">
      <c r="F100" s="225"/>
      <c r="M100" s="225"/>
    </row>
    <row r="101">
      <c r="F101" s="225"/>
      <c r="M101" s="225"/>
    </row>
    <row r="102">
      <c r="F102" s="225"/>
      <c r="M102" s="225"/>
    </row>
    <row r="103">
      <c r="F103" s="225"/>
      <c r="M103" s="225"/>
    </row>
    <row r="104">
      <c r="F104" s="225"/>
      <c r="M104" s="225"/>
    </row>
    <row r="105">
      <c r="F105" s="225"/>
      <c r="M105" s="225"/>
    </row>
    <row r="106">
      <c r="F106" s="225"/>
      <c r="M106" s="225"/>
    </row>
    <row r="107">
      <c r="F107" s="225"/>
      <c r="M107" s="225"/>
    </row>
    <row r="108">
      <c r="F108" s="225"/>
      <c r="M108" s="225"/>
    </row>
    <row r="109">
      <c r="F109" s="225"/>
      <c r="M109" s="225"/>
    </row>
    <row r="110">
      <c r="F110" s="225"/>
      <c r="M110" s="225"/>
    </row>
    <row r="111">
      <c r="F111" s="225"/>
      <c r="M111" s="225"/>
    </row>
    <row r="112">
      <c r="F112" s="225"/>
      <c r="M112" s="225"/>
    </row>
    <row r="113">
      <c r="F113" s="225"/>
      <c r="M113" s="225"/>
    </row>
    <row r="114">
      <c r="F114" s="225"/>
      <c r="M114" s="225"/>
    </row>
    <row r="115">
      <c r="F115" s="225"/>
      <c r="M115" s="225"/>
    </row>
    <row r="116">
      <c r="F116" s="225"/>
      <c r="M116" s="225"/>
    </row>
    <row r="117">
      <c r="F117" s="225"/>
      <c r="M117" s="225"/>
    </row>
    <row r="118">
      <c r="F118" s="225"/>
      <c r="M118" s="225"/>
    </row>
    <row r="119">
      <c r="F119" s="225"/>
      <c r="M119" s="225"/>
    </row>
    <row r="120">
      <c r="F120" s="225"/>
      <c r="M120" s="225"/>
    </row>
    <row r="121">
      <c r="F121" s="225"/>
      <c r="M121" s="225"/>
    </row>
    <row r="122">
      <c r="F122" s="225"/>
      <c r="M122" s="225"/>
    </row>
    <row r="123">
      <c r="F123" s="225"/>
      <c r="M123" s="225"/>
    </row>
    <row r="124">
      <c r="F124" s="225"/>
      <c r="M124" s="225"/>
    </row>
    <row r="125">
      <c r="F125" s="225"/>
      <c r="M125" s="225"/>
    </row>
    <row r="126">
      <c r="F126" s="225"/>
      <c r="M126" s="225"/>
    </row>
    <row r="127">
      <c r="F127" s="225"/>
      <c r="M127" s="225"/>
    </row>
    <row r="128">
      <c r="F128" s="225"/>
      <c r="M128" s="225"/>
    </row>
    <row r="129">
      <c r="F129" s="225"/>
      <c r="M129" s="225"/>
    </row>
    <row r="130">
      <c r="F130" s="225"/>
      <c r="M130" s="225"/>
    </row>
    <row r="131">
      <c r="F131" s="225"/>
      <c r="M131" s="225"/>
    </row>
    <row r="132">
      <c r="F132" s="225"/>
      <c r="M132" s="225"/>
    </row>
    <row r="133">
      <c r="F133" s="225"/>
      <c r="M133" s="225"/>
    </row>
    <row r="134">
      <c r="F134" s="225"/>
      <c r="M134" s="225"/>
    </row>
    <row r="135">
      <c r="F135" s="225"/>
      <c r="M135" s="225"/>
    </row>
    <row r="136">
      <c r="F136" s="225"/>
      <c r="M136" s="225"/>
    </row>
    <row r="137">
      <c r="F137" s="225"/>
      <c r="M137" s="225"/>
    </row>
    <row r="138">
      <c r="F138" s="225"/>
      <c r="M138" s="225"/>
    </row>
    <row r="139">
      <c r="F139" s="225"/>
      <c r="M139" s="225"/>
    </row>
    <row r="140">
      <c r="F140" s="225"/>
      <c r="M140" s="225"/>
    </row>
    <row r="141">
      <c r="F141" s="225"/>
      <c r="M141" s="225"/>
    </row>
    <row r="142">
      <c r="F142" s="225"/>
      <c r="M142" s="225"/>
    </row>
    <row r="143">
      <c r="F143" s="225"/>
      <c r="M143" s="225"/>
    </row>
    <row r="144">
      <c r="F144" s="225"/>
      <c r="M144" s="225"/>
    </row>
    <row r="145">
      <c r="F145" s="225"/>
      <c r="M145" s="225"/>
    </row>
    <row r="146">
      <c r="F146" s="225"/>
      <c r="M146" s="225"/>
    </row>
    <row r="147">
      <c r="F147" s="225"/>
      <c r="M147" s="225"/>
    </row>
    <row r="148">
      <c r="F148" s="225"/>
      <c r="M148" s="225"/>
    </row>
    <row r="149">
      <c r="F149" s="225"/>
      <c r="M149" s="225"/>
    </row>
    <row r="150">
      <c r="F150" s="225"/>
      <c r="M150" s="225"/>
    </row>
    <row r="151">
      <c r="F151" s="225"/>
      <c r="M151" s="225"/>
    </row>
    <row r="152">
      <c r="F152" s="225"/>
      <c r="M152" s="225"/>
    </row>
    <row r="153">
      <c r="F153" s="225"/>
      <c r="M153" s="225"/>
    </row>
    <row r="154">
      <c r="F154" s="225"/>
      <c r="M154" s="225"/>
    </row>
    <row r="155">
      <c r="F155" s="225"/>
      <c r="M155" s="225"/>
    </row>
    <row r="156">
      <c r="F156" s="225"/>
      <c r="M156" s="225"/>
    </row>
    <row r="157">
      <c r="F157" s="225"/>
      <c r="M157" s="225"/>
    </row>
    <row r="158">
      <c r="F158" s="225"/>
      <c r="M158" s="225"/>
    </row>
    <row r="159">
      <c r="F159" s="225"/>
      <c r="M159" s="225"/>
    </row>
    <row r="160">
      <c r="F160" s="225"/>
      <c r="M160" s="225"/>
    </row>
    <row r="161">
      <c r="F161" s="225"/>
      <c r="M161" s="225"/>
    </row>
    <row r="162">
      <c r="F162" s="225"/>
      <c r="M162" s="225"/>
    </row>
    <row r="163">
      <c r="F163" s="225"/>
      <c r="M163" s="225"/>
    </row>
    <row r="164">
      <c r="F164" s="225"/>
      <c r="M164" s="225"/>
    </row>
    <row r="165">
      <c r="F165" s="225"/>
      <c r="M165" s="225"/>
    </row>
    <row r="166">
      <c r="F166" s="225"/>
      <c r="M166" s="225"/>
    </row>
    <row r="167">
      <c r="F167" s="225"/>
      <c r="M167" s="225"/>
    </row>
    <row r="168">
      <c r="F168" s="225"/>
      <c r="M168" s="225"/>
    </row>
    <row r="169">
      <c r="F169" s="225"/>
      <c r="M169" s="225"/>
    </row>
    <row r="170">
      <c r="F170" s="225"/>
      <c r="M170" s="225"/>
    </row>
    <row r="171">
      <c r="F171" s="225"/>
      <c r="M171" s="225"/>
    </row>
    <row r="172">
      <c r="F172" s="225"/>
      <c r="M172" s="225"/>
    </row>
    <row r="173">
      <c r="F173" s="225"/>
      <c r="M173" s="225"/>
    </row>
    <row r="174">
      <c r="F174" s="225"/>
      <c r="M174" s="225"/>
    </row>
    <row r="175">
      <c r="F175" s="225"/>
      <c r="M175" s="225"/>
    </row>
    <row r="176">
      <c r="F176" s="225"/>
      <c r="M176" s="225"/>
    </row>
    <row r="177">
      <c r="F177" s="225"/>
      <c r="M177" s="225"/>
    </row>
    <row r="178">
      <c r="F178" s="225"/>
      <c r="M178" s="225"/>
    </row>
    <row r="179">
      <c r="F179" s="225"/>
      <c r="M179" s="225"/>
    </row>
    <row r="180">
      <c r="F180" s="225"/>
      <c r="M180" s="225"/>
    </row>
    <row r="181">
      <c r="F181" s="225"/>
      <c r="M181" s="225"/>
    </row>
    <row r="182">
      <c r="F182" s="225"/>
      <c r="M182" s="225"/>
    </row>
    <row r="183">
      <c r="F183" s="225"/>
      <c r="M183" s="225"/>
    </row>
    <row r="184">
      <c r="F184" s="225"/>
      <c r="M184" s="225"/>
    </row>
    <row r="185">
      <c r="F185" s="225"/>
      <c r="M185" s="225"/>
    </row>
    <row r="186">
      <c r="F186" s="225"/>
      <c r="M186" s="225"/>
    </row>
    <row r="187">
      <c r="F187" s="225"/>
      <c r="M187" s="225"/>
    </row>
    <row r="188">
      <c r="F188" s="225"/>
      <c r="M188" s="225"/>
    </row>
    <row r="189">
      <c r="F189" s="225"/>
      <c r="M189" s="225"/>
    </row>
    <row r="190">
      <c r="F190" s="225"/>
      <c r="M190" s="225"/>
    </row>
    <row r="191">
      <c r="F191" s="225"/>
      <c r="M191" s="225"/>
    </row>
    <row r="192">
      <c r="F192" s="225"/>
      <c r="M192" s="225"/>
    </row>
    <row r="193">
      <c r="F193" s="225"/>
      <c r="M193" s="225"/>
    </row>
    <row r="194">
      <c r="F194" s="225"/>
      <c r="M194" s="225"/>
    </row>
    <row r="195">
      <c r="F195" s="225"/>
      <c r="M195" s="225"/>
    </row>
    <row r="196">
      <c r="F196" s="225"/>
      <c r="M196" s="225"/>
    </row>
    <row r="197">
      <c r="F197" s="225"/>
      <c r="M197" s="225"/>
    </row>
    <row r="198">
      <c r="F198" s="225"/>
      <c r="M198" s="225"/>
    </row>
    <row r="199">
      <c r="F199" s="225"/>
      <c r="M199" s="225"/>
    </row>
    <row r="200">
      <c r="F200" s="225"/>
      <c r="M200" s="225"/>
    </row>
    <row r="201">
      <c r="F201" s="225"/>
      <c r="M201" s="225"/>
    </row>
    <row r="202">
      <c r="F202" s="225"/>
      <c r="M202" s="225"/>
    </row>
    <row r="203">
      <c r="F203" s="225"/>
      <c r="M203" s="225"/>
    </row>
    <row r="204">
      <c r="F204" s="225"/>
      <c r="M204" s="225"/>
    </row>
    <row r="205">
      <c r="F205" s="225"/>
      <c r="M205" s="225"/>
    </row>
    <row r="206">
      <c r="F206" s="225"/>
      <c r="M206" s="225"/>
    </row>
    <row r="207">
      <c r="F207" s="225"/>
      <c r="M207" s="225"/>
    </row>
    <row r="208">
      <c r="F208" s="225"/>
      <c r="M208" s="225"/>
    </row>
    <row r="209">
      <c r="F209" s="225"/>
      <c r="M209" s="225"/>
    </row>
    <row r="210">
      <c r="F210" s="225"/>
      <c r="M210" s="225"/>
    </row>
    <row r="211">
      <c r="F211" s="225"/>
      <c r="M211" s="225"/>
    </row>
    <row r="212">
      <c r="F212" s="225"/>
      <c r="M212" s="225"/>
    </row>
    <row r="213">
      <c r="F213" s="225"/>
      <c r="M213" s="225"/>
    </row>
    <row r="214">
      <c r="F214" s="225"/>
      <c r="M214" s="225"/>
    </row>
    <row r="215">
      <c r="F215" s="225"/>
      <c r="M215" s="225"/>
    </row>
    <row r="216">
      <c r="F216" s="225"/>
      <c r="M216" s="225"/>
    </row>
    <row r="217">
      <c r="F217" s="225"/>
      <c r="M217" s="225"/>
    </row>
    <row r="218">
      <c r="F218" s="225"/>
      <c r="M218" s="225"/>
    </row>
    <row r="219">
      <c r="F219" s="225"/>
      <c r="M219" s="225"/>
    </row>
    <row r="220">
      <c r="F220" s="225"/>
      <c r="M220" s="225"/>
    </row>
    <row r="221">
      <c r="F221" s="225"/>
      <c r="M221" s="225"/>
    </row>
    <row r="222">
      <c r="F222" s="225"/>
      <c r="M222" s="225"/>
    </row>
    <row r="223">
      <c r="F223" s="225"/>
      <c r="M223" s="225"/>
    </row>
    <row r="224">
      <c r="F224" s="225"/>
      <c r="M224" s="225"/>
    </row>
    <row r="225">
      <c r="F225" s="225"/>
      <c r="M225" s="225"/>
    </row>
    <row r="226">
      <c r="F226" s="225"/>
      <c r="M226" s="225"/>
    </row>
    <row r="227">
      <c r="F227" s="225"/>
      <c r="M227" s="225"/>
    </row>
    <row r="228">
      <c r="F228" s="225"/>
      <c r="M228" s="225"/>
    </row>
    <row r="229">
      <c r="F229" s="225"/>
      <c r="M229" s="225"/>
    </row>
    <row r="230">
      <c r="F230" s="225"/>
      <c r="M230" s="225"/>
    </row>
    <row r="231">
      <c r="F231" s="225"/>
      <c r="M231" s="225"/>
    </row>
    <row r="232">
      <c r="F232" s="225"/>
      <c r="M232" s="225"/>
    </row>
    <row r="233">
      <c r="F233" s="225"/>
      <c r="M233" s="225"/>
    </row>
    <row r="234">
      <c r="F234" s="225"/>
      <c r="M234" s="225"/>
    </row>
    <row r="235">
      <c r="F235" s="225"/>
      <c r="M235" s="225"/>
    </row>
    <row r="236">
      <c r="F236" s="225"/>
      <c r="M236" s="225"/>
    </row>
    <row r="237">
      <c r="F237" s="225"/>
      <c r="M237" s="225"/>
    </row>
    <row r="238">
      <c r="F238" s="225"/>
      <c r="M238" s="225"/>
    </row>
    <row r="239">
      <c r="F239" s="225"/>
      <c r="M239" s="225"/>
    </row>
    <row r="240">
      <c r="F240" s="225"/>
      <c r="M240" s="225"/>
    </row>
    <row r="241">
      <c r="F241" s="225"/>
      <c r="M241" s="225"/>
    </row>
    <row r="242">
      <c r="F242" s="225"/>
      <c r="M242" s="225"/>
    </row>
    <row r="243">
      <c r="F243" s="225"/>
      <c r="M243" s="225"/>
    </row>
    <row r="244">
      <c r="F244" s="225"/>
      <c r="M244" s="225"/>
    </row>
    <row r="245">
      <c r="F245" s="225"/>
      <c r="M245" s="225"/>
    </row>
    <row r="246">
      <c r="F246" s="225"/>
      <c r="M246" s="225"/>
    </row>
    <row r="247">
      <c r="F247" s="225"/>
      <c r="M247" s="225"/>
    </row>
    <row r="248">
      <c r="F248" s="225"/>
      <c r="M248" s="225"/>
    </row>
    <row r="249">
      <c r="F249" s="225"/>
      <c r="M249" s="225"/>
    </row>
    <row r="250">
      <c r="F250" s="225"/>
      <c r="M250" s="225"/>
    </row>
    <row r="251">
      <c r="F251" s="225"/>
      <c r="M251" s="225"/>
    </row>
    <row r="252">
      <c r="F252" s="225"/>
      <c r="M252" s="225"/>
    </row>
    <row r="253">
      <c r="F253" s="225"/>
      <c r="M253" s="225"/>
    </row>
    <row r="254">
      <c r="F254" s="225"/>
      <c r="M254" s="225"/>
    </row>
    <row r="255">
      <c r="F255" s="225"/>
      <c r="M255" s="225"/>
    </row>
    <row r="256">
      <c r="F256" s="225"/>
      <c r="M256" s="225"/>
    </row>
    <row r="257">
      <c r="F257" s="225"/>
      <c r="M257" s="225"/>
    </row>
    <row r="258">
      <c r="F258" s="225"/>
      <c r="M258" s="225"/>
    </row>
    <row r="259">
      <c r="F259" s="225"/>
      <c r="M259" s="225"/>
    </row>
    <row r="260">
      <c r="F260" s="225"/>
      <c r="M260" s="225"/>
    </row>
    <row r="261">
      <c r="F261" s="225"/>
      <c r="M261" s="225"/>
    </row>
    <row r="262">
      <c r="F262" s="225"/>
      <c r="M262" s="225"/>
    </row>
    <row r="263">
      <c r="F263" s="225"/>
      <c r="M263" s="225"/>
    </row>
    <row r="264">
      <c r="F264" s="225"/>
      <c r="M264" s="225"/>
    </row>
    <row r="265">
      <c r="F265" s="225"/>
      <c r="M265" s="225"/>
    </row>
    <row r="266">
      <c r="F266" s="225"/>
      <c r="M266" s="225"/>
    </row>
    <row r="267">
      <c r="F267" s="225"/>
      <c r="M267" s="225"/>
    </row>
    <row r="268">
      <c r="F268" s="225"/>
      <c r="M268" s="225"/>
    </row>
    <row r="269">
      <c r="F269" s="225"/>
      <c r="M269" s="225"/>
    </row>
    <row r="270">
      <c r="F270" s="225"/>
      <c r="M270" s="225"/>
    </row>
    <row r="271">
      <c r="F271" s="225"/>
      <c r="M271" s="225"/>
    </row>
    <row r="272">
      <c r="F272" s="225"/>
      <c r="M272" s="225"/>
    </row>
    <row r="273">
      <c r="F273" s="225"/>
      <c r="M273" s="225"/>
    </row>
    <row r="274">
      <c r="F274" s="225"/>
      <c r="M274" s="225"/>
    </row>
    <row r="275">
      <c r="F275" s="225"/>
      <c r="M275" s="225"/>
    </row>
    <row r="276">
      <c r="F276" s="225"/>
      <c r="M276" s="225"/>
    </row>
    <row r="277">
      <c r="F277" s="225"/>
      <c r="M277" s="225"/>
    </row>
    <row r="278">
      <c r="F278" s="225"/>
      <c r="M278" s="225"/>
    </row>
    <row r="279">
      <c r="F279" s="225"/>
      <c r="M279" s="225"/>
    </row>
    <row r="280">
      <c r="F280" s="225"/>
      <c r="M280" s="225"/>
    </row>
    <row r="281">
      <c r="F281" s="225"/>
      <c r="M281" s="225"/>
    </row>
    <row r="282">
      <c r="F282" s="225"/>
      <c r="M282" s="225"/>
    </row>
    <row r="283">
      <c r="F283" s="225"/>
      <c r="M283" s="225"/>
    </row>
    <row r="284">
      <c r="F284" s="225"/>
      <c r="M284" s="225"/>
    </row>
    <row r="285">
      <c r="F285" s="225"/>
      <c r="M285" s="225"/>
    </row>
    <row r="286">
      <c r="F286" s="225"/>
      <c r="M286" s="225"/>
    </row>
    <row r="287">
      <c r="F287" s="225"/>
      <c r="M287" s="225"/>
    </row>
    <row r="288">
      <c r="F288" s="225"/>
      <c r="M288" s="225"/>
    </row>
    <row r="289">
      <c r="F289" s="225"/>
      <c r="M289" s="225"/>
    </row>
    <row r="290">
      <c r="F290" s="225"/>
      <c r="M290" s="225"/>
    </row>
    <row r="291">
      <c r="F291" s="225"/>
      <c r="M291" s="225"/>
    </row>
    <row r="292">
      <c r="F292" s="225"/>
      <c r="M292" s="225"/>
    </row>
    <row r="293">
      <c r="F293" s="225"/>
      <c r="M293" s="225"/>
    </row>
    <row r="294">
      <c r="F294" s="225"/>
      <c r="M294" s="225"/>
    </row>
    <row r="295">
      <c r="F295" s="225"/>
      <c r="M295" s="225"/>
    </row>
    <row r="296">
      <c r="F296" s="225"/>
      <c r="M296" s="225"/>
    </row>
    <row r="297">
      <c r="F297" s="225"/>
      <c r="M297" s="225"/>
    </row>
    <row r="298">
      <c r="F298" s="225"/>
      <c r="M298" s="225"/>
    </row>
    <row r="299">
      <c r="F299" s="225"/>
      <c r="M299" s="225"/>
    </row>
    <row r="300">
      <c r="F300" s="225"/>
      <c r="M300" s="225"/>
    </row>
    <row r="301">
      <c r="F301" s="225"/>
      <c r="M301" s="225"/>
    </row>
    <row r="302">
      <c r="F302" s="225"/>
      <c r="M302" s="225"/>
    </row>
    <row r="303">
      <c r="F303" s="225"/>
      <c r="M303" s="225"/>
    </row>
    <row r="304">
      <c r="F304" s="225"/>
      <c r="M304" s="225"/>
    </row>
    <row r="305">
      <c r="F305" s="225"/>
      <c r="M305" s="225"/>
    </row>
    <row r="306">
      <c r="F306" s="225"/>
      <c r="M306" s="225"/>
    </row>
    <row r="307">
      <c r="F307" s="225"/>
      <c r="M307" s="225"/>
    </row>
    <row r="308">
      <c r="F308" s="225"/>
      <c r="M308" s="225"/>
    </row>
    <row r="309">
      <c r="F309" s="225"/>
      <c r="M309" s="225"/>
    </row>
    <row r="310">
      <c r="F310" s="225"/>
      <c r="M310" s="225"/>
    </row>
    <row r="311">
      <c r="F311" s="225"/>
      <c r="M311" s="225"/>
    </row>
    <row r="312">
      <c r="F312" s="225"/>
      <c r="M312" s="225"/>
    </row>
    <row r="313">
      <c r="F313" s="225"/>
      <c r="M313" s="225"/>
    </row>
    <row r="314">
      <c r="F314" s="225"/>
      <c r="M314" s="225"/>
    </row>
    <row r="315">
      <c r="F315" s="225"/>
      <c r="M315" s="225"/>
    </row>
    <row r="316">
      <c r="F316" s="225"/>
      <c r="M316" s="225"/>
    </row>
    <row r="317">
      <c r="F317" s="225"/>
      <c r="M317" s="225"/>
    </row>
    <row r="318">
      <c r="F318" s="225"/>
      <c r="M318" s="225"/>
    </row>
    <row r="319">
      <c r="F319" s="225"/>
      <c r="M319" s="225"/>
    </row>
    <row r="320">
      <c r="F320" s="225"/>
      <c r="M320" s="225"/>
    </row>
    <row r="321">
      <c r="F321" s="225"/>
      <c r="M321" s="225"/>
    </row>
    <row r="322">
      <c r="F322" s="225"/>
      <c r="M322" s="225"/>
    </row>
    <row r="323">
      <c r="F323" s="225"/>
      <c r="M323" s="225"/>
    </row>
    <row r="324">
      <c r="F324" s="225"/>
      <c r="M324" s="225"/>
    </row>
    <row r="325">
      <c r="F325" s="225"/>
      <c r="M325" s="225"/>
    </row>
    <row r="326">
      <c r="F326" s="225"/>
      <c r="M326" s="225"/>
    </row>
    <row r="327">
      <c r="F327" s="225"/>
      <c r="M327" s="225"/>
    </row>
    <row r="328">
      <c r="F328" s="225"/>
      <c r="M328" s="225"/>
    </row>
    <row r="329">
      <c r="F329" s="225"/>
      <c r="M329" s="225"/>
    </row>
    <row r="330">
      <c r="F330" s="225"/>
      <c r="M330" s="225"/>
    </row>
    <row r="331">
      <c r="F331" s="225"/>
      <c r="M331" s="225"/>
    </row>
    <row r="332">
      <c r="F332" s="225"/>
      <c r="M332" s="225"/>
    </row>
    <row r="333">
      <c r="F333" s="225"/>
      <c r="M333" s="225"/>
    </row>
    <row r="334">
      <c r="F334" s="225"/>
      <c r="M334" s="225"/>
    </row>
    <row r="335">
      <c r="F335" s="225"/>
      <c r="M335" s="225"/>
    </row>
    <row r="336">
      <c r="F336" s="225"/>
      <c r="M336" s="225"/>
    </row>
    <row r="337">
      <c r="F337" s="225"/>
      <c r="M337" s="225"/>
    </row>
    <row r="338">
      <c r="F338" s="225"/>
      <c r="M338" s="225"/>
    </row>
    <row r="339">
      <c r="F339" s="225"/>
      <c r="M339" s="225"/>
    </row>
    <row r="340">
      <c r="F340" s="225"/>
      <c r="M340" s="225"/>
    </row>
    <row r="341">
      <c r="F341" s="225"/>
      <c r="M341" s="225"/>
    </row>
    <row r="342">
      <c r="F342" s="225"/>
      <c r="M342" s="225"/>
    </row>
    <row r="343">
      <c r="F343" s="225"/>
      <c r="M343" s="225"/>
    </row>
    <row r="344">
      <c r="F344" s="225"/>
      <c r="M344" s="225"/>
    </row>
    <row r="345">
      <c r="F345" s="225"/>
      <c r="M345" s="225"/>
    </row>
    <row r="346">
      <c r="F346" s="225"/>
      <c r="M346" s="225"/>
    </row>
    <row r="347">
      <c r="F347" s="225"/>
      <c r="M347" s="225"/>
    </row>
    <row r="348">
      <c r="F348" s="225"/>
      <c r="M348" s="225"/>
    </row>
    <row r="349">
      <c r="F349" s="225"/>
      <c r="M349" s="225"/>
    </row>
    <row r="350">
      <c r="F350" s="225"/>
      <c r="M350" s="225"/>
    </row>
    <row r="351">
      <c r="F351" s="225"/>
      <c r="M351" s="225"/>
    </row>
    <row r="352">
      <c r="F352" s="225"/>
      <c r="M352" s="225"/>
    </row>
    <row r="353">
      <c r="F353" s="225"/>
      <c r="M353" s="225"/>
    </row>
    <row r="354">
      <c r="F354" s="225"/>
      <c r="M354" s="225"/>
    </row>
    <row r="355">
      <c r="F355" s="225"/>
      <c r="M355" s="225"/>
    </row>
    <row r="356">
      <c r="F356" s="225"/>
      <c r="M356" s="225"/>
    </row>
    <row r="357">
      <c r="F357" s="225"/>
      <c r="M357" s="225"/>
    </row>
    <row r="358">
      <c r="F358" s="225"/>
      <c r="M358" s="225"/>
    </row>
    <row r="359">
      <c r="F359" s="225"/>
      <c r="M359" s="225"/>
    </row>
    <row r="360">
      <c r="F360" s="225"/>
      <c r="M360" s="225"/>
    </row>
    <row r="361">
      <c r="F361" s="225"/>
      <c r="M361" s="225"/>
    </row>
    <row r="362">
      <c r="F362" s="225"/>
      <c r="M362" s="225"/>
    </row>
    <row r="363">
      <c r="F363" s="225"/>
      <c r="M363" s="225"/>
    </row>
    <row r="364">
      <c r="F364" s="225"/>
      <c r="M364" s="225"/>
    </row>
    <row r="365">
      <c r="F365" s="225"/>
      <c r="M365" s="225"/>
    </row>
    <row r="366">
      <c r="F366" s="225"/>
      <c r="M366" s="225"/>
    </row>
    <row r="367">
      <c r="F367" s="225"/>
      <c r="M367" s="225"/>
    </row>
    <row r="368">
      <c r="F368" s="225"/>
      <c r="M368" s="225"/>
    </row>
    <row r="369">
      <c r="F369" s="225"/>
      <c r="M369" s="225"/>
    </row>
    <row r="370">
      <c r="F370" s="225"/>
      <c r="M370" s="225"/>
    </row>
    <row r="371">
      <c r="F371" s="225"/>
      <c r="M371" s="225"/>
    </row>
    <row r="372">
      <c r="F372" s="225"/>
      <c r="M372" s="225"/>
    </row>
    <row r="373">
      <c r="F373" s="225"/>
      <c r="M373" s="225"/>
    </row>
    <row r="374">
      <c r="F374" s="225"/>
      <c r="M374" s="225"/>
    </row>
    <row r="375">
      <c r="F375" s="225"/>
      <c r="M375" s="225"/>
    </row>
    <row r="376">
      <c r="F376" s="225"/>
      <c r="M376" s="225"/>
    </row>
    <row r="377">
      <c r="F377" s="225"/>
      <c r="M377" s="225"/>
    </row>
    <row r="378">
      <c r="F378" s="225"/>
      <c r="M378" s="225"/>
    </row>
    <row r="379">
      <c r="F379" s="225"/>
      <c r="M379" s="225"/>
    </row>
    <row r="380">
      <c r="F380" s="225"/>
      <c r="M380" s="225"/>
    </row>
    <row r="381">
      <c r="F381" s="225"/>
      <c r="M381" s="225"/>
    </row>
    <row r="382">
      <c r="F382" s="225"/>
      <c r="M382" s="225"/>
    </row>
    <row r="383">
      <c r="F383" s="225"/>
      <c r="M383" s="225"/>
    </row>
    <row r="384">
      <c r="F384" s="225"/>
      <c r="M384" s="225"/>
    </row>
    <row r="385">
      <c r="F385" s="225"/>
      <c r="M385" s="225"/>
    </row>
    <row r="386">
      <c r="F386" s="225"/>
      <c r="M386" s="225"/>
    </row>
    <row r="387">
      <c r="F387" s="225"/>
      <c r="M387" s="225"/>
    </row>
    <row r="388">
      <c r="F388" s="225"/>
      <c r="M388" s="225"/>
    </row>
    <row r="389">
      <c r="F389" s="225"/>
      <c r="M389" s="225"/>
    </row>
    <row r="390">
      <c r="F390" s="225"/>
      <c r="M390" s="225"/>
    </row>
    <row r="391">
      <c r="F391" s="225"/>
      <c r="M391" s="225"/>
    </row>
    <row r="392">
      <c r="F392" s="225"/>
      <c r="M392" s="225"/>
    </row>
    <row r="393">
      <c r="F393" s="225"/>
      <c r="M393" s="225"/>
    </row>
    <row r="394">
      <c r="F394" s="225"/>
      <c r="M394" s="225"/>
    </row>
    <row r="395">
      <c r="F395" s="225"/>
      <c r="M395" s="225"/>
    </row>
    <row r="396">
      <c r="F396" s="225"/>
      <c r="M396" s="225"/>
    </row>
    <row r="397">
      <c r="F397" s="225"/>
      <c r="M397" s="225"/>
    </row>
    <row r="398">
      <c r="F398" s="225"/>
      <c r="M398" s="225"/>
    </row>
    <row r="399">
      <c r="F399" s="225"/>
      <c r="M399" s="225"/>
    </row>
    <row r="400">
      <c r="F400" s="225"/>
      <c r="M400" s="225"/>
    </row>
    <row r="401">
      <c r="F401" s="225"/>
      <c r="M401" s="225"/>
    </row>
    <row r="402">
      <c r="F402" s="225"/>
      <c r="M402" s="225"/>
    </row>
    <row r="403">
      <c r="F403" s="225"/>
      <c r="M403" s="225"/>
    </row>
    <row r="404">
      <c r="F404" s="225"/>
      <c r="M404" s="225"/>
    </row>
    <row r="405">
      <c r="F405" s="225"/>
      <c r="M405" s="225"/>
    </row>
    <row r="406">
      <c r="F406" s="225"/>
      <c r="M406" s="225"/>
    </row>
    <row r="407">
      <c r="F407" s="225"/>
      <c r="M407" s="225"/>
    </row>
    <row r="408">
      <c r="F408" s="225"/>
      <c r="M408" s="225"/>
    </row>
    <row r="409">
      <c r="F409" s="225"/>
      <c r="M409" s="225"/>
    </row>
    <row r="410">
      <c r="F410" s="225"/>
      <c r="M410" s="225"/>
    </row>
    <row r="411">
      <c r="F411" s="225"/>
      <c r="M411" s="225"/>
    </row>
    <row r="412">
      <c r="F412" s="225"/>
      <c r="M412" s="225"/>
    </row>
    <row r="413">
      <c r="F413" s="225"/>
      <c r="M413" s="225"/>
    </row>
    <row r="414">
      <c r="F414" s="225"/>
      <c r="M414" s="225"/>
    </row>
    <row r="415">
      <c r="F415" s="225"/>
      <c r="M415" s="225"/>
    </row>
    <row r="416">
      <c r="F416" s="225"/>
      <c r="M416" s="225"/>
    </row>
    <row r="417">
      <c r="F417" s="225"/>
      <c r="M417" s="225"/>
    </row>
    <row r="418">
      <c r="F418" s="225"/>
      <c r="M418" s="225"/>
    </row>
    <row r="419">
      <c r="F419" s="225"/>
      <c r="M419" s="225"/>
    </row>
    <row r="420">
      <c r="F420" s="225"/>
      <c r="M420" s="225"/>
    </row>
    <row r="421">
      <c r="F421" s="225"/>
      <c r="M421" s="225"/>
    </row>
    <row r="422">
      <c r="F422" s="225"/>
      <c r="M422" s="225"/>
    </row>
    <row r="423">
      <c r="F423" s="225"/>
      <c r="M423" s="225"/>
    </row>
    <row r="424">
      <c r="F424" s="225"/>
      <c r="M424" s="225"/>
    </row>
    <row r="425">
      <c r="F425" s="225"/>
      <c r="M425" s="225"/>
    </row>
    <row r="426">
      <c r="F426" s="225"/>
      <c r="M426" s="225"/>
    </row>
    <row r="427">
      <c r="F427" s="225"/>
      <c r="M427" s="225"/>
    </row>
    <row r="428">
      <c r="F428" s="225"/>
      <c r="M428" s="225"/>
    </row>
    <row r="429">
      <c r="F429" s="225"/>
      <c r="M429" s="225"/>
    </row>
    <row r="430">
      <c r="F430" s="225"/>
      <c r="M430" s="225"/>
    </row>
    <row r="431">
      <c r="F431" s="225"/>
      <c r="M431" s="225"/>
    </row>
    <row r="432">
      <c r="F432" s="225"/>
      <c r="M432" s="225"/>
    </row>
    <row r="433">
      <c r="F433" s="225"/>
      <c r="M433" s="225"/>
    </row>
    <row r="434">
      <c r="F434" s="225"/>
      <c r="M434" s="225"/>
    </row>
    <row r="435">
      <c r="F435" s="225"/>
      <c r="M435" s="225"/>
    </row>
    <row r="436">
      <c r="F436" s="225"/>
      <c r="M436" s="225"/>
    </row>
    <row r="437">
      <c r="F437" s="225"/>
      <c r="M437" s="225"/>
    </row>
    <row r="438">
      <c r="F438" s="225"/>
      <c r="M438" s="225"/>
    </row>
    <row r="439">
      <c r="F439" s="225"/>
      <c r="M439" s="225"/>
    </row>
    <row r="440">
      <c r="F440" s="225"/>
      <c r="M440" s="225"/>
    </row>
    <row r="441">
      <c r="F441" s="225"/>
      <c r="M441" s="225"/>
    </row>
    <row r="442">
      <c r="F442" s="225"/>
      <c r="M442" s="225"/>
    </row>
    <row r="443">
      <c r="F443" s="225"/>
      <c r="M443" s="225"/>
    </row>
    <row r="444">
      <c r="F444" s="225"/>
      <c r="M444" s="225"/>
    </row>
    <row r="445">
      <c r="F445" s="225"/>
      <c r="M445" s="225"/>
    </row>
    <row r="446">
      <c r="F446" s="225"/>
      <c r="M446" s="225"/>
    </row>
    <row r="447">
      <c r="F447" s="225"/>
      <c r="M447" s="225"/>
    </row>
    <row r="448">
      <c r="F448" s="225"/>
      <c r="M448" s="225"/>
    </row>
    <row r="449">
      <c r="F449" s="225"/>
      <c r="M449" s="225"/>
    </row>
    <row r="450">
      <c r="F450" s="225"/>
      <c r="M450" s="225"/>
    </row>
    <row r="451">
      <c r="F451" s="225"/>
      <c r="M451" s="225"/>
    </row>
    <row r="452">
      <c r="F452" s="225"/>
      <c r="M452" s="225"/>
    </row>
    <row r="453">
      <c r="F453" s="225"/>
      <c r="M453" s="225"/>
    </row>
    <row r="454">
      <c r="F454" s="225"/>
      <c r="M454" s="225"/>
    </row>
    <row r="455">
      <c r="F455" s="225"/>
      <c r="M455" s="225"/>
    </row>
    <row r="456">
      <c r="F456" s="225"/>
      <c r="M456" s="225"/>
    </row>
    <row r="457">
      <c r="F457" s="225"/>
      <c r="M457" s="225"/>
    </row>
    <row r="458">
      <c r="F458" s="225"/>
      <c r="M458" s="225"/>
    </row>
    <row r="459">
      <c r="F459" s="225"/>
      <c r="M459" s="225"/>
    </row>
    <row r="460">
      <c r="F460" s="225"/>
      <c r="M460" s="225"/>
    </row>
    <row r="461">
      <c r="F461" s="225"/>
      <c r="M461" s="225"/>
    </row>
    <row r="462">
      <c r="F462" s="225"/>
      <c r="M462" s="225"/>
    </row>
    <row r="463">
      <c r="F463" s="225"/>
      <c r="M463" s="225"/>
    </row>
    <row r="464">
      <c r="F464" s="225"/>
      <c r="M464" s="225"/>
    </row>
    <row r="465">
      <c r="F465" s="225"/>
      <c r="M465" s="225"/>
    </row>
    <row r="466">
      <c r="F466" s="225"/>
      <c r="M466" s="225"/>
    </row>
    <row r="467">
      <c r="F467" s="225"/>
      <c r="M467" s="225"/>
    </row>
    <row r="468">
      <c r="F468" s="225"/>
      <c r="M468" s="225"/>
    </row>
    <row r="469">
      <c r="F469" s="225"/>
      <c r="M469" s="225"/>
    </row>
    <row r="470">
      <c r="F470" s="225"/>
      <c r="M470" s="225"/>
    </row>
    <row r="471">
      <c r="F471" s="225"/>
      <c r="M471" s="225"/>
    </row>
    <row r="472">
      <c r="F472" s="225"/>
      <c r="M472" s="225"/>
    </row>
    <row r="473">
      <c r="F473" s="225"/>
      <c r="M473" s="225"/>
    </row>
    <row r="474">
      <c r="F474" s="225"/>
      <c r="M474" s="225"/>
    </row>
    <row r="475">
      <c r="F475" s="225"/>
      <c r="M475" s="225"/>
    </row>
    <row r="476">
      <c r="F476" s="225"/>
      <c r="M476" s="225"/>
    </row>
    <row r="477">
      <c r="F477" s="225"/>
      <c r="M477" s="225"/>
    </row>
    <row r="478">
      <c r="F478" s="225"/>
      <c r="M478" s="225"/>
    </row>
    <row r="479">
      <c r="F479" s="225"/>
      <c r="M479" s="225"/>
    </row>
    <row r="480">
      <c r="F480" s="225"/>
      <c r="M480" s="225"/>
    </row>
    <row r="481">
      <c r="F481" s="225"/>
      <c r="M481" s="225"/>
    </row>
    <row r="482">
      <c r="F482" s="225"/>
      <c r="M482" s="225"/>
    </row>
    <row r="483">
      <c r="F483" s="225"/>
      <c r="M483" s="225"/>
    </row>
    <row r="484">
      <c r="F484" s="225"/>
      <c r="M484" s="225"/>
    </row>
    <row r="485">
      <c r="F485" s="225"/>
      <c r="M485" s="225"/>
    </row>
    <row r="486">
      <c r="F486" s="225"/>
      <c r="M486" s="225"/>
    </row>
    <row r="487">
      <c r="F487" s="225"/>
      <c r="M487" s="225"/>
    </row>
    <row r="488">
      <c r="F488" s="225"/>
      <c r="M488" s="225"/>
    </row>
    <row r="489">
      <c r="F489" s="225"/>
      <c r="M489" s="225"/>
    </row>
    <row r="490">
      <c r="F490" s="225"/>
      <c r="M490" s="225"/>
    </row>
    <row r="491">
      <c r="F491" s="225"/>
      <c r="M491" s="225"/>
    </row>
    <row r="492">
      <c r="F492" s="225"/>
      <c r="M492" s="225"/>
    </row>
    <row r="493">
      <c r="F493" s="225"/>
      <c r="M493" s="225"/>
    </row>
    <row r="494">
      <c r="F494" s="225"/>
      <c r="M494" s="225"/>
    </row>
    <row r="495">
      <c r="F495" s="225"/>
      <c r="M495" s="225"/>
    </row>
    <row r="496">
      <c r="F496" s="225"/>
      <c r="M496" s="225"/>
    </row>
    <row r="497">
      <c r="F497" s="225"/>
      <c r="M497" s="225"/>
    </row>
    <row r="498">
      <c r="F498" s="225"/>
      <c r="M498" s="225"/>
    </row>
    <row r="499">
      <c r="F499" s="225"/>
      <c r="M499" s="225"/>
    </row>
    <row r="500">
      <c r="F500" s="225"/>
      <c r="M500" s="225"/>
    </row>
    <row r="501">
      <c r="F501" s="225"/>
      <c r="M501" s="225"/>
    </row>
    <row r="502">
      <c r="F502" s="225"/>
      <c r="M502" s="225"/>
    </row>
    <row r="503">
      <c r="F503" s="225"/>
      <c r="M503" s="225"/>
    </row>
    <row r="504">
      <c r="F504" s="225"/>
      <c r="M504" s="225"/>
    </row>
    <row r="505">
      <c r="F505" s="225"/>
      <c r="M505" s="225"/>
    </row>
    <row r="506">
      <c r="F506" s="225"/>
      <c r="M506" s="225"/>
    </row>
    <row r="507">
      <c r="F507" s="225"/>
      <c r="M507" s="225"/>
    </row>
    <row r="508">
      <c r="F508" s="225"/>
      <c r="M508" s="225"/>
    </row>
    <row r="509">
      <c r="F509" s="225"/>
      <c r="M509" s="225"/>
    </row>
    <row r="510">
      <c r="F510" s="225"/>
      <c r="M510" s="225"/>
    </row>
    <row r="511">
      <c r="F511" s="225"/>
      <c r="M511" s="225"/>
    </row>
    <row r="512">
      <c r="F512" s="225"/>
      <c r="M512" s="225"/>
    </row>
    <row r="513">
      <c r="F513" s="225"/>
      <c r="M513" s="225"/>
    </row>
    <row r="514">
      <c r="F514" s="225"/>
      <c r="M514" s="225"/>
    </row>
    <row r="515">
      <c r="F515" s="225"/>
      <c r="M515" s="225"/>
    </row>
    <row r="516">
      <c r="F516" s="225"/>
      <c r="M516" s="225"/>
    </row>
    <row r="517">
      <c r="F517" s="225"/>
      <c r="M517" s="225"/>
    </row>
    <row r="518">
      <c r="F518" s="225"/>
      <c r="M518" s="225"/>
    </row>
    <row r="519">
      <c r="F519" s="225"/>
      <c r="M519" s="225"/>
    </row>
    <row r="520">
      <c r="F520" s="225"/>
      <c r="M520" s="225"/>
    </row>
    <row r="521">
      <c r="F521" s="225"/>
      <c r="M521" s="225"/>
    </row>
    <row r="522">
      <c r="F522" s="225"/>
      <c r="M522" s="225"/>
    </row>
    <row r="523">
      <c r="F523" s="225"/>
      <c r="M523" s="225"/>
    </row>
    <row r="524">
      <c r="F524" s="225"/>
      <c r="M524" s="225"/>
    </row>
    <row r="525">
      <c r="F525" s="225"/>
      <c r="M525" s="225"/>
    </row>
    <row r="526">
      <c r="F526" s="225"/>
      <c r="M526" s="225"/>
    </row>
    <row r="527">
      <c r="F527" s="225"/>
      <c r="M527" s="225"/>
    </row>
    <row r="528">
      <c r="F528" s="225"/>
      <c r="M528" s="225"/>
    </row>
    <row r="529">
      <c r="F529" s="225"/>
      <c r="M529" s="225"/>
    </row>
    <row r="530">
      <c r="F530" s="225"/>
      <c r="M530" s="225"/>
    </row>
    <row r="531">
      <c r="F531" s="225"/>
      <c r="M531" s="225"/>
    </row>
    <row r="532">
      <c r="F532" s="225"/>
      <c r="M532" s="225"/>
    </row>
    <row r="533">
      <c r="F533" s="225"/>
      <c r="M533" s="225"/>
    </row>
    <row r="534">
      <c r="F534" s="225"/>
      <c r="M534" s="225"/>
    </row>
    <row r="535">
      <c r="F535" s="225"/>
      <c r="M535" s="225"/>
    </row>
    <row r="536">
      <c r="F536" s="225"/>
      <c r="M536" s="225"/>
    </row>
    <row r="537">
      <c r="F537" s="225"/>
      <c r="M537" s="225"/>
    </row>
    <row r="538">
      <c r="F538" s="225"/>
      <c r="M538" s="225"/>
    </row>
    <row r="539">
      <c r="F539" s="225"/>
      <c r="M539" s="225"/>
    </row>
    <row r="540">
      <c r="F540" s="225"/>
      <c r="M540" s="225"/>
    </row>
    <row r="541">
      <c r="F541" s="225"/>
      <c r="M541" s="225"/>
    </row>
    <row r="542">
      <c r="F542" s="225"/>
      <c r="M542" s="225"/>
    </row>
    <row r="543">
      <c r="F543" s="225"/>
      <c r="M543" s="225"/>
    </row>
    <row r="544">
      <c r="F544" s="225"/>
      <c r="M544" s="225"/>
    </row>
    <row r="545">
      <c r="F545" s="225"/>
      <c r="M545" s="225"/>
    </row>
    <row r="546">
      <c r="F546" s="225"/>
      <c r="M546" s="225"/>
    </row>
    <row r="547">
      <c r="F547" s="225"/>
      <c r="M547" s="225"/>
    </row>
    <row r="548">
      <c r="F548" s="225"/>
      <c r="M548" s="225"/>
    </row>
    <row r="549">
      <c r="F549" s="225"/>
      <c r="M549" s="225"/>
    </row>
    <row r="550">
      <c r="F550" s="225"/>
      <c r="M550" s="225"/>
    </row>
    <row r="551">
      <c r="F551" s="225"/>
      <c r="M551" s="225"/>
    </row>
    <row r="552">
      <c r="F552" s="225"/>
      <c r="M552" s="225"/>
    </row>
    <row r="553">
      <c r="F553" s="225"/>
      <c r="M553" s="225"/>
    </row>
    <row r="554">
      <c r="F554" s="225"/>
      <c r="M554" s="225"/>
    </row>
    <row r="555">
      <c r="F555" s="225"/>
      <c r="M555" s="225"/>
    </row>
    <row r="556">
      <c r="F556" s="225"/>
      <c r="M556" s="225"/>
    </row>
    <row r="557">
      <c r="F557" s="225"/>
      <c r="M557" s="225"/>
    </row>
    <row r="558">
      <c r="F558" s="225"/>
      <c r="M558" s="225"/>
    </row>
    <row r="559">
      <c r="F559" s="225"/>
      <c r="M559" s="225"/>
    </row>
    <row r="560">
      <c r="F560" s="225"/>
      <c r="M560" s="225"/>
    </row>
    <row r="561">
      <c r="F561" s="225"/>
      <c r="M561" s="225"/>
    </row>
    <row r="562">
      <c r="F562" s="225"/>
      <c r="M562" s="225"/>
    </row>
    <row r="563">
      <c r="F563" s="225"/>
      <c r="M563" s="225"/>
    </row>
    <row r="564">
      <c r="F564" s="225"/>
      <c r="M564" s="225"/>
    </row>
    <row r="565">
      <c r="F565" s="225"/>
      <c r="M565" s="225"/>
    </row>
    <row r="566">
      <c r="F566" s="225"/>
      <c r="M566" s="225"/>
    </row>
    <row r="567">
      <c r="F567" s="225"/>
      <c r="M567" s="225"/>
    </row>
    <row r="568">
      <c r="F568" s="225"/>
      <c r="M568" s="225"/>
    </row>
    <row r="569">
      <c r="F569" s="225"/>
      <c r="M569" s="225"/>
    </row>
    <row r="570">
      <c r="F570" s="225"/>
      <c r="M570" s="225"/>
    </row>
    <row r="571">
      <c r="F571" s="225"/>
      <c r="M571" s="225"/>
    </row>
    <row r="572">
      <c r="F572" s="225"/>
      <c r="M572" s="225"/>
    </row>
    <row r="573">
      <c r="F573" s="225"/>
      <c r="M573" s="225"/>
    </row>
    <row r="574">
      <c r="F574" s="225"/>
      <c r="M574" s="225"/>
    </row>
    <row r="575">
      <c r="F575" s="225"/>
      <c r="M575" s="225"/>
    </row>
    <row r="576">
      <c r="F576" s="225"/>
      <c r="M576" s="225"/>
    </row>
    <row r="577">
      <c r="F577" s="225"/>
      <c r="M577" s="225"/>
    </row>
    <row r="578">
      <c r="F578" s="225"/>
      <c r="M578" s="225"/>
    </row>
    <row r="579">
      <c r="F579" s="225"/>
      <c r="M579" s="225"/>
    </row>
    <row r="580">
      <c r="F580" s="225"/>
      <c r="M580" s="225"/>
    </row>
    <row r="581">
      <c r="F581" s="225"/>
      <c r="M581" s="225"/>
    </row>
    <row r="582">
      <c r="F582" s="225"/>
      <c r="M582" s="225"/>
    </row>
    <row r="583">
      <c r="F583" s="225"/>
      <c r="M583" s="225"/>
    </row>
    <row r="584">
      <c r="F584" s="225"/>
      <c r="M584" s="225"/>
    </row>
    <row r="585">
      <c r="F585" s="225"/>
      <c r="M585" s="225"/>
    </row>
    <row r="586">
      <c r="F586" s="225"/>
      <c r="M586" s="225"/>
    </row>
    <row r="587">
      <c r="F587" s="225"/>
      <c r="M587" s="225"/>
    </row>
    <row r="588">
      <c r="F588" s="225"/>
      <c r="M588" s="225"/>
    </row>
    <row r="589">
      <c r="F589" s="225"/>
      <c r="M589" s="225"/>
    </row>
    <row r="590">
      <c r="F590" s="225"/>
      <c r="M590" s="225"/>
    </row>
    <row r="591">
      <c r="F591" s="225"/>
      <c r="M591" s="225"/>
    </row>
    <row r="592">
      <c r="F592" s="225"/>
      <c r="M592" s="225"/>
    </row>
    <row r="593">
      <c r="F593" s="225"/>
      <c r="M593" s="225"/>
    </row>
    <row r="594">
      <c r="F594" s="225"/>
      <c r="M594" s="225"/>
    </row>
    <row r="595">
      <c r="F595" s="225"/>
      <c r="M595" s="225"/>
    </row>
    <row r="596">
      <c r="F596" s="225"/>
      <c r="M596" s="225"/>
    </row>
    <row r="597">
      <c r="F597" s="225"/>
      <c r="M597" s="225"/>
    </row>
    <row r="598">
      <c r="F598" s="225"/>
      <c r="M598" s="225"/>
    </row>
    <row r="599">
      <c r="F599" s="225"/>
      <c r="M599" s="225"/>
    </row>
    <row r="600">
      <c r="F600" s="225"/>
      <c r="M600" s="225"/>
    </row>
    <row r="601">
      <c r="F601" s="225"/>
      <c r="M601" s="225"/>
    </row>
    <row r="602">
      <c r="F602" s="225"/>
      <c r="M602" s="225"/>
    </row>
    <row r="603">
      <c r="F603" s="225"/>
      <c r="M603" s="225"/>
    </row>
    <row r="604">
      <c r="F604" s="225"/>
      <c r="M604" s="225"/>
    </row>
    <row r="605">
      <c r="F605" s="225"/>
      <c r="M605" s="225"/>
    </row>
    <row r="606">
      <c r="F606" s="225"/>
      <c r="M606" s="225"/>
    </row>
    <row r="607">
      <c r="F607" s="225"/>
      <c r="M607" s="225"/>
    </row>
    <row r="608">
      <c r="F608" s="225"/>
      <c r="M608" s="225"/>
    </row>
    <row r="609">
      <c r="F609" s="225"/>
      <c r="M609" s="225"/>
    </row>
    <row r="610">
      <c r="F610" s="225"/>
      <c r="M610" s="225"/>
    </row>
    <row r="611">
      <c r="F611" s="225"/>
      <c r="M611" s="225"/>
    </row>
    <row r="612">
      <c r="F612" s="225"/>
      <c r="M612" s="225"/>
    </row>
    <row r="613">
      <c r="F613" s="225"/>
      <c r="M613" s="225"/>
    </row>
    <row r="614">
      <c r="F614" s="225"/>
      <c r="M614" s="225"/>
    </row>
    <row r="615">
      <c r="F615" s="225"/>
      <c r="M615" s="225"/>
    </row>
    <row r="616">
      <c r="F616" s="225"/>
      <c r="M616" s="225"/>
    </row>
    <row r="617">
      <c r="F617" s="225"/>
      <c r="M617" s="225"/>
    </row>
    <row r="618">
      <c r="F618" s="225"/>
      <c r="M618" s="225"/>
    </row>
    <row r="619">
      <c r="F619" s="225"/>
      <c r="M619" s="225"/>
    </row>
    <row r="620">
      <c r="F620" s="225"/>
      <c r="M620" s="225"/>
    </row>
    <row r="621">
      <c r="F621" s="225"/>
      <c r="M621" s="225"/>
    </row>
    <row r="622">
      <c r="F622" s="225"/>
      <c r="M622" s="225"/>
    </row>
    <row r="623">
      <c r="F623" s="225"/>
      <c r="M623" s="225"/>
    </row>
    <row r="624">
      <c r="F624" s="225"/>
      <c r="M624" s="225"/>
    </row>
    <row r="625">
      <c r="F625" s="225"/>
      <c r="M625" s="225"/>
    </row>
    <row r="626">
      <c r="F626" s="225"/>
      <c r="M626" s="225"/>
    </row>
    <row r="627">
      <c r="F627" s="225"/>
      <c r="M627" s="225"/>
    </row>
    <row r="628">
      <c r="F628" s="225"/>
      <c r="M628" s="225"/>
    </row>
    <row r="629">
      <c r="F629" s="225"/>
      <c r="M629" s="225"/>
    </row>
    <row r="630">
      <c r="F630" s="225"/>
      <c r="M630" s="225"/>
    </row>
    <row r="631">
      <c r="F631" s="225"/>
      <c r="M631" s="225"/>
    </row>
    <row r="632">
      <c r="F632" s="225"/>
      <c r="M632" s="225"/>
    </row>
    <row r="633">
      <c r="F633" s="225"/>
      <c r="M633" s="225"/>
    </row>
    <row r="634">
      <c r="F634" s="225"/>
      <c r="M634" s="225"/>
    </row>
    <row r="635">
      <c r="F635" s="225"/>
      <c r="M635" s="225"/>
    </row>
    <row r="636">
      <c r="F636" s="225"/>
      <c r="M636" s="225"/>
    </row>
    <row r="637">
      <c r="F637" s="225"/>
      <c r="M637" s="225"/>
    </row>
    <row r="638">
      <c r="F638" s="225"/>
      <c r="M638" s="225"/>
    </row>
    <row r="639">
      <c r="F639" s="225"/>
      <c r="M639" s="225"/>
    </row>
    <row r="640">
      <c r="F640" s="225"/>
      <c r="M640" s="225"/>
    </row>
    <row r="641">
      <c r="F641" s="225"/>
      <c r="M641" s="225"/>
    </row>
    <row r="642">
      <c r="F642" s="225"/>
      <c r="M642" s="225"/>
    </row>
    <row r="643">
      <c r="F643" s="225"/>
      <c r="M643" s="225"/>
    </row>
    <row r="644">
      <c r="F644" s="225"/>
      <c r="M644" s="225"/>
    </row>
    <row r="645">
      <c r="F645" s="225"/>
      <c r="M645" s="225"/>
    </row>
    <row r="646">
      <c r="F646" s="225"/>
      <c r="M646" s="225"/>
    </row>
    <row r="647">
      <c r="F647" s="225"/>
      <c r="M647" s="225"/>
    </row>
    <row r="648">
      <c r="F648" s="225"/>
      <c r="M648" s="225"/>
    </row>
    <row r="649">
      <c r="F649" s="225"/>
      <c r="M649" s="225"/>
    </row>
    <row r="650">
      <c r="F650" s="225"/>
      <c r="M650" s="225"/>
    </row>
    <row r="651">
      <c r="F651" s="225"/>
      <c r="M651" s="225"/>
    </row>
    <row r="652">
      <c r="F652" s="225"/>
      <c r="M652" s="225"/>
    </row>
    <row r="653">
      <c r="F653" s="225"/>
      <c r="M653" s="225"/>
    </row>
    <row r="654">
      <c r="F654" s="225"/>
      <c r="M654" s="225"/>
    </row>
    <row r="655">
      <c r="F655" s="225"/>
      <c r="M655" s="225"/>
    </row>
    <row r="656">
      <c r="F656" s="225"/>
      <c r="M656" s="225"/>
    </row>
    <row r="657">
      <c r="F657" s="225"/>
      <c r="M657" s="225"/>
    </row>
    <row r="658">
      <c r="F658" s="225"/>
      <c r="M658" s="225"/>
    </row>
    <row r="659">
      <c r="F659" s="225"/>
      <c r="M659" s="225"/>
    </row>
    <row r="660">
      <c r="F660" s="225"/>
      <c r="M660" s="225"/>
    </row>
    <row r="661">
      <c r="F661" s="225"/>
      <c r="M661" s="225"/>
    </row>
    <row r="662">
      <c r="F662" s="225"/>
      <c r="M662" s="225"/>
    </row>
    <row r="663">
      <c r="F663" s="225"/>
      <c r="M663" s="225"/>
    </row>
    <row r="664">
      <c r="F664" s="225"/>
      <c r="M664" s="225"/>
    </row>
    <row r="665">
      <c r="F665" s="225"/>
      <c r="M665" s="225"/>
    </row>
    <row r="666">
      <c r="F666" s="225"/>
      <c r="M666" s="225"/>
    </row>
    <row r="667">
      <c r="F667" s="225"/>
      <c r="M667" s="225"/>
    </row>
    <row r="668">
      <c r="F668" s="225"/>
      <c r="M668" s="225"/>
    </row>
    <row r="669">
      <c r="F669" s="225"/>
      <c r="M669" s="225"/>
    </row>
    <row r="670">
      <c r="F670" s="225"/>
      <c r="M670" s="225"/>
    </row>
    <row r="671">
      <c r="F671" s="225"/>
      <c r="M671" s="225"/>
    </row>
    <row r="672">
      <c r="F672" s="225"/>
      <c r="M672" s="225"/>
    </row>
    <row r="673">
      <c r="F673" s="225"/>
      <c r="M673" s="225"/>
    </row>
    <row r="674">
      <c r="F674" s="225"/>
      <c r="M674" s="225"/>
    </row>
    <row r="675">
      <c r="F675" s="225"/>
      <c r="M675" s="225"/>
    </row>
    <row r="676">
      <c r="F676" s="225"/>
      <c r="M676" s="225"/>
    </row>
    <row r="677">
      <c r="F677" s="225"/>
      <c r="M677" s="225"/>
    </row>
    <row r="678">
      <c r="F678" s="225"/>
      <c r="M678" s="225"/>
    </row>
    <row r="679">
      <c r="F679" s="225"/>
      <c r="M679" s="225"/>
    </row>
    <row r="680">
      <c r="F680" s="225"/>
      <c r="M680" s="225"/>
    </row>
    <row r="681">
      <c r="F681" s="225"/>
      <c r="M681" s="225"/>
    </row>
    <row r="682">
      <c r="F682" s="225"/>
      <c r="M682" s="225"/>
    </row>
    <row r="683">
      <c r="F683" s="225"/>
      <c r="M683" s="225"/>
    </row>
    <row r="684">
      <c r="F684" s="225"/>
      <c r="M684" s="225"/>
    </row>
    <row r="685">
      <c r="F685" s="225"/>
      <c r="M685" s="225"/>
    </row>
    <row r="686">
      <c r="F686" s="225"/>
      <c r="M686" s="225"/>
    </row>
    <row r="687">
      <c r="F687" s="225"/>
      <c r="M687" s="225"/>
    </row>
    <row r="688">
      <c r="F688" s="225"/>
      <c r="M688" s="225"/>
    </row>
    <row r="689">
      <c r="F689" s="225"/>
      <c r="M689" s="225"/>
    </row>
    <row r="690">
      <c r="F690" s="225"/>
      <c r="M690" s="225"/>
    </row>
    <row r="691">
      <c r="F691" s="225"/>
      <c r="M691" s="225"/>
    </row>
    <row r="692">
      <c r="F692" s="225"/>
      <c r="M692" s="225"/>
    </row>
    <row r="693">
      <c r="F693" s="225"/>
      <c r="M693" s="225"/>
    </row>
    <row r="694">
      <c r="F694" s="225"/>
      <c r="M694" s="225"/>
    </row>
    <row r="695">
      <c r="F695" s="225"/>
      <c r="M695" s="225"/>
    </row>
    <row r="696">
      <c r="F696" s="225"/>
      <c r="M696" s="225"/>
    </row>
    <row r="697">
      <c r="F697" s="225"/>
      <c r="M697" s="225"/>
    </row>
    <row r="698">
      <c r="F698" s="225"/>
      <c r="M698" s="225"/>
    </row>
    <row r="699">
      <c r="F699" s="225"/>
      <c r="M699" s="225"/>
    </row>
    <row r="700">
      <c r="F700" s="225"/>
      <c r="M700" s="225"/>
    </row>
    <row r="701">
      <c r="F701" s="225"/>
      <c r="M701" s="225"/>
    </row>
    <row r="702">
      <c r="F702" s="225"/>
      <c r="M702" s="225"/>
    </row>
    <row r="703">
      <c r="F703" s="225"/>
      <c r="M703" s="225"/>
    </row>
    <row r="704">
      <c r="F704" s="225"/>
      <c r="M704" s="225"/>
    </row>
    <row r="705">
      <c r="F705" s="225"/>
      <c r="M705" s="225"/>
    </row>
    <row r="706">
      <c r="F706" s="225"/>
      <c r="M706" s="225"/>
    </row>
    <row r="707">
      <c r="F707" s="225"/>
      <c r="M707" s="225"/>
    </row>
    <row r="708">
      <c r="F708" s="225"/>
      <c r="M708" s="225"/>
    </row>
    <row r="709">
      <c r="F709" s="225"/>
      <c r="M709" s="225"/>
    </row>
    <row r="710">
      <c r="F710" s="225"/>
      <c r="M710" s="225"/>
    </row>
    <row r="711">
      <c r="F711" s="225"/>
      <c r="M711" s="225"/>
    </row>
    <row r="712">
      <c r="F712" s="225"/>
      <c r="M712" s="225"/>
    </row>
    <row r="713">
      <c r="F713" s="225"/>
      <c r="M713" s="225"/>
    </row>
    <row r="714">
      <c r="F714" s="225"/>
      <c r="M714" s="225"/>
    </row>
    <row r="715">
      <c r="F715" s="225"/>
      <c r="M715" s="225"/>
    </row>
    <row r="716">
      <c r="F716" s="225"/>
      <c r="M716" s="225"/>
    </row>
    <row r="717">
      <c r="F717" s="225"/>
      <c r="M717" s="225"/>
    </row>
    <row r="718">
      <c r="F718" s="225"/>
      <c r="M718" s="225"/>
    </row>
    <row r="719">
      <c r="F719" s="225"/>
      <c r="M719" s="225"/>
    </row>
    <row r="720">
      <c r="F720" s="225"/>
      <c r="M720" s="225"/>
    </row>
    <row r="721">
      <c r="F721" s="225"/>
      <c r="M721" s="225"/>
    </row>
    <row r="722">
      <c r="F722" s="225"/>
      <c r="M722" s="225"/>
    </row>
    <row r="723">
      <c r="F723" s="225"/>
      <c r="M723" s="225"/>
    </row>
    <row r="724">
      <c r="F724" s="225"/>
      <c r="M724" s="225"/>
    </row>
    <row r="725">
      <c r="F725" s="225"/>
      <c r="M725" s="225"/>
    </row>
    <row r="726">
      <c r="F726" s="225"/>
      <c r="M726" s="225"/>
    </row>
    <row r="727">
      <c r="F727" s="225"/>
      <c r="M727" s="225"/>
    </row>
    <row r="728">
      <c r="F728" s="225"/>
      <c r="M728" s="225"/>
    </row>
    <row r="729">
      <c r="F729" s="225"/>
      <c r="M729" s="225"/>
    </row>
    <row r="730">
      <c r="F730" s="225"/>
      <c r="M730" s="225"/>
    </row>
    <row r="731">
      <c r="F731" s="225"/>
      <c r="M731" s="225"/>
    </row>
    <row r="732">
      <c r="F732" s="225"/>
      <c r="M732" s="225"/>
    </row>
    <row r="733">
      <c r="F733" s="225"/>
      <c r="M733" s="225"/>
    </row>
    <row r="734">
      <c r="F734" s="225"/>
      <c r="M734" s="225"/>
    </row>
    <row r="735">
      <c r="F735" s="225"/>
      <c r="M735" s="225"/>
    </row>
    <row r="736">
      <c r="F736" s="225"/>
      <c r="M736" s="225"/>
    </row>
    <row r="737">
      <c r="F737" s="225"/>
      <c r="M737" s="225"/>
    </row>
    <row r="738">
      <c r="F738" s="225"/>
      <c r="M738" s="225"/>
    </row>
    <row r="739">
      <c r="F739" s="225"/>
      <c r="M739" s="225"/>
    </row>
    <row r="740">
      <c r="F740" s="225"/>
      <c r="M740" s="225"/>
    </row>
    <row r="741">
      <c r="F741" s="225"/>
      <c r="M741" s="225"/>
    </row>
    <row r="742">
      <c r="F742" s="225"/>
      <c r="M742" s="225"/>
    </row>
    <row r="743">
      <c r="F743" s="225"/>
      <c r="M743" s="225"/>
    </row>
    <row r="744">
      <c r="F744" s="225"/>
      <c r="M744" s="225"/>
    </row>
    <row r="745">
      <c r="F745" s="225"/>
      <c r="M745" s="225"/>
    </row>
    <row r="746">
      <c r="F746" s="225"/>
      <c r="M746" s="225"/>
    </row>
    <row r="747">
      <c r="F747" s="225"/>
      <c r="M747" s="225"/>
    </row>
    <row r="748">
      <c r="F748" s="225"/>
      <c r="M748" s="225"/>
    </row>
    <row r="749">
      <c r="F749" s="225"/>
      <c r="M749" s="225"/>
    </row>
    <row r="750">
      <c r="F750" s="225"/>
      <c r="M750" s="225"/>
    </row>
    <row r="751">
      <c r="F751" s="225"/>
      <c r="M751" s="225"/>
    </row>
    <row r="752">
      <c r="F752" s="225"/>
      <c r="M752" s="225"/>
    </row>
    <row r="753">
      <c r="F753" s="225"/>
      <c r="M753" s="225"/>
    </row>
    <row r="754">
      <c r="F754" s="225"/>
      <c r="M754" s="225"/>
    </row>
    <row r="755">
      <c r="F755" s="225"/>
      <c r="M755" s="225"/>
    </row>
    <row r="756">
      <c r="F756" s="225"/>
      <c r="M756" s="225"/>
    </row>
    <row r="757">
      <c r="F757" s="225"/>
      <c r="M757" s="225"/>
    </row>
    <row r="758">
      <c r="F758" s="225"/>
      <c r="M758" s="225"/>
    </row>
    <row r="759">
      <c r="F759" s="225"/>
      <c r="M759" s="225"/>
    </row>
    <row r="760">
      <c r="F760" s="225"/>
      <c r="M760" s="225"/>
    </row>
    <row r="761">
      <c r="F761" s="225"/>
      <c r="M761" s="225"/>
    </row>
    <row r="762">
      <c r="F762" s="225"/>
      <c r="M762" s="225"/>
    </row>
    <row r="763">
      <c r="F763" s="225"/>
      <c r="M763" s="225"/>
    </row>
    <row r="764">
      <c r="F764" s="225"/>
      <c r="M764" s="225"/>
    </row>
    <row r="765">
      <c r="F765" s="225"/>
      <c r="M765" s="225"/>
    </row>
    <row r="766">
      <c r="F766" s="225"/>
      <c r="M766" s="225"/>
    </row>
    <row r="767">
      <c r="F767" s="225"/>
      <c r="M767" s="225"/>
    </row>
    <row r="768">
      <c r="F768" s="225"/>
      <c r="M768" s="225"/>
    </row>
    <row r="769">
      <c r="F769" s="225"/>
      <c r="M769" s="225"/>
    </row>
    <row r="770">
      <c r="F770" s="225"/>
      <c r="M770" s="225"/>
    </row>
    <row r="771">
      <c r="F771" s="225"/>
      <c r="M771" s="225"/>
    </row>
    <row r="772">
      <c r="F772" s="225"/>
      <c r="M772" s="225"/>
    </row>
    <row r="773">
      <c r="F773" s="225"/>
      <c r="M773" s="225"/>
    </row>
    <row r="774">
      <c r="F774" s="225"/>
      <c r="M774" s="225"/>
    </row>
    <row r="775">
      <c r="F775" s="225"/>
      <c r="M775" s="225"/>
    </row>
    <row r="776">
      <c r="F776" s="225"/>
      <c r="M776" s="225"/>
    </row>
    <row r="777">
      <c r="F777" s="225"/>
      <c r="M777" s="225"/>
    </row>
    <row r="778">
      <c r="F778" s="225"/>
      <c r="M778" s="225"/>
    </row>
    <row r="779">
      <c r="F779" s="225"/>
      <c r="M779" s="225"/>
    </row>
    <row r="780">
      <c r="F780" s="225"/>
      <c r="M780" s="225"/>
    </row>
    <row r="781">
      <c r="F781" s="225"/>
      <c r="M781" s="225"/>
    </row>
    <row r="782">
      <c r="F782" s="225"/>
      <c r="M782" s="225"/>
    </row>
    <row r="783">
      <c r="F783" s="225"/>
      <c r="M783" s="225"/>
    </row>
    <row r="784">
      <c r="F784" s="225"/>
      <c r="M784" s="225"/>
    </row>
    <row r="785">
      <c r="F785" s="225"/>
      <c r="M785" s="225"/>
    </row>
    <row r="786">
      <c r="F786" s="225"/>
      <c r="M786" s="225"/>
    </row>
    <row r="787">
      <c r="F787" s="225"/>
      <c r="M787" s="225"/>
    </row>
    <row r="788">
      <c r="F788" s="225"/>
      <c r="M788" s="225"/>
    </row>
    <row r="789">
      <c r="F789" s="225"/>
      <c r="M789" s="225"/>
    </row>
    <row r="790">
      <c r="F790" s="225"/>
      <c r="M790" s="225"/>
    </row>
    <row r="791">
      <c r="F791" s="225"/>
      <c r="M791" s="225"/>
    </row>
    <row r="792">
      <c r="F792" s="225"/>
      <c r="M792" s="225"/>
    </row>
    <row r="793">
      <c r="F793" s="225"/>
      <c r="M793" s="225"/>
    </row>
    <row r="794">
      <c r="F794" s="225"/>
      <c r="M794" s="225"/>
    </row>
    <row r="795">
      <c r="F795" s="225"/>
      <c r="M795" s="225"/>
    </row>
    <row r="796">
      <c r="F796" s="225"/>
      <c r="M796" s="225"/>
    </row>
    <row r="797">
      <c r="F797" s="225"/>
      <c r="M797" s="225"/>
    </row>
    <row r="798">
      <c r="F798" s="225"/>
      <c r="M798" s="225"/>
    </row>
    <row r="799">
      <c r="F799" s="225"/>
      <c r="M799" s="225"/>
    </row>
    <row r="800">
      <c r="F800" s="225"/>
      <c r="M800" s="225"/>
    </row>
    <row r="801">
      <c r="F801" s="225"/>
      <c r="M801" s="225"/>
    </row>
    <row r="802">
      <c r="F802" s="225"/>
      <c r="M802" s="225"/>
    </row>
    <row r="803">
      <c r="F803" s="225"/>
      <c r="M803" s="225"/>
    </row>
    <row r="804">
      <c r="F804" s="225"/>
      <c r="M804" s="225"/>
    </row>
    <row r="805">
      <c r="F805" s="225"/>
      <c r="M805" s="225"/>
    </row>
    <row r="806">
      <c r="F806" s="225"/>
      <c r="M806" s="225"/>
    </row>
    <row r="807">
      <c r="F807" s="225"/>
      <c r="M807" s="225"/>
    </row>
    <row r="808">
      <c r="F808" s="225"/>
      <c r="M808" s="225"/>
    </row>
    <row r="809">
      <c r="F809" s="225"/>
      <c r="M809" s="225"/>
    </row>
    <row r="810">
      <c r="F810" s="225"/>
      <c r="M810" s="225"/>
    </row>
    <row r="811">
      <c r="F811" s="225"/>
      <c r="M811" s="225"/>
    </row>
    <row r="812">
      <c r="F812" s="225"/>
      <c r="M812" s="225"/>
    </row>
    <row r="813">
      <c r="F813" s="225"/>
      <c r="M813" s="225"/>
    </row>
    <row r="814">
      <c r="F814" s="225"/>
      <c r="M814" s="225"/>
    </row>
    <row r="815">
      <c r="F815" s="225"/>
      <c r="M815" s="225"/>
    </row>
    <row r="816">
      <c r="F816" s="225"/>
      <c r="M816" s="225"/>
    </row>
    <row r="817">
      <c r="F817" s="225"/>
      <c r="M817" s="225"/>
    </row>
    <row r="818">
      <c r="F818" s="225"/>
      <c r="M818" s="225"/>
    </row>
    <row r="819">
      <c r="F819" s="225"/>
      <c r="M819" s="225"/>
    </row>
    <row r="820">
      <c r="F820" s="225"/>
      <c r="M820" s="225"/>
    </row>
    <row r="821">
      <c r="F821" s="225"/>
      <c r="M821" s="225"/>
    </row>
    <row r="822">
      <c r="F822" s="225"/>
      <c r="M822" s="225"/>
    </row>
    <row r="823">
      <c r="F823" s="225"/>
      <c r="M823" s="225"/>
    </row>
    <row r="824">
      <c r="F824" s="225"/>
      <c r="M824" s="225"/>
    </row>
    <row r="825">
      <c r="F825" s="225"/>
      <c r="M825" s="225"/>
    </row>
    <row r="826">
      <c r="F826" s="225"/>
      <c r="M826" s="225"/>
    </row>
    <row r="827">
      <c r="F827" s="225"/>
      <c r="M827" s="225"/>
    </row>
    <row r="828">
      <c r="F828" s="225"/>
      <c r="M828" s="225"/>
    </row>
    <row r="829">
      <c r="F829" s="225"/>
      <c r="M829" s="225"/>
    </row>
    <row r="830">
      <c r="F830" s="225"/>
      <c r="M830" s="225"/>
    </row>
    <row r="831">
      <c r="F831" s="225"/>
      <c r="M831" s="225"/>
    </row>
    <row r="832">
      <c r="F832" s="225"/>
      <c r="M832" s="225"/>
    </row>
    <row r="833">
      <c r="F833" s="225"/>
      <c r="M833" s="225"/>
    </row>
    <row r="834">
      <c r="F834" s="225"/>
      <c r="M834" s="225"/>
    </row>
    <row r="835">
      <c r="F835" s="225"/>
      <c r="M835" s="225"/>
    </row>
    <row r="836">
      <c r="F836" s="225"/>
      <c r="M836" s="225"/>
    </row>
    <row r="837">
      <c r="F837" s="225"/>
      <c r="M837" s="225"/>
    </row>
    <row r="838">
      <c r="F838" s="225"/>
      <c r="M838" s="225"/>
    </row>
    <row r="839">
      <c r="F839" s="225"/>
      <c r="M839" s="225"/>
    </row>
    <row r="840">
      <c r="F840" s="225"/>
      <c r="M840" s="225"/>
    </row>
    <row r="841">
      <c r="F841" s="225"/>
      <c r="M841" s="225"/>
    </row>
    <row r="842">
      <c r="F842" s="225"/>
      <c r="M842" s="225"/>
    </row>
    <row r="843">
      <c r="F843" s="225"/>
      <c r="M843" s="225"/>
    </row>
    <row r="844">
      <c r="F844" s="225"/>
      <c r="M844" s="225"/>
    </row>
    <row r="845">
      <c r="F845" s="225"/>
      <c r="M845" s="225"/>
    </row>
    <row r="846">
      <c r="F846" s="225"/>
      <c r="M846" s="225"/>
    </row>
    <row r="847">
      <c r="F847" s="225"/>
      <c r="M847" s="225"/>
    </row>
    <row r="848">
      <c r="F848" s="225"/>
      <c r="M848" s="225"/>
    </row>
    <row r="849">
      <c r="F849" s="225"/>
      <c r="M849" s="225"/>
    </row>
    <row r="850">
      <c r="F850" s="225"/>
      <c r="M850" s="225"/>
    </row>
    <row r="851">
      <c r="F851" s="225"/>
      <c r="M851" s="225"/>
    </row>
    <row r="852">
      <c r="F852" s="225"/>
      <c r="M852" s="225"/>
    </row>
    <row r="853">
      <c r="F853" s="225"/>
      <c r="M853" s="225"/>
    </row>
    <row r="854">
      <c r="F854" s="225"/>
      <c r="M854" s="225"/>
    </row>
    <row r="855">
      <c r="F855" s="225"/>
      <c r="M855" s="225"/>
    </row>
    <row r="856">
      <c r="F856" s="225"/>
      <c r="M856" s="225"/>
    </row>
    <row r="857">
      <c r="F857" s="225"/>
      <c r="M857" s="225"/>
    </row>
    <row r="858">
      <c r="F858" s="225"/>
      <c r="M858" s="225"/>
    </row>
    <row r="859">
      <c r="F859" s="225"/>
      <c r="M859" s="225"/>
    </row>
    <row r="860">
      <c r="F860" s="225"/>
      <c r="M860" s="225"/>
    </row>
    <row r="861">
      <c r="F861" s="225"/>
      <c r="M861" s="225"/>
    </row>
    <row r="862">
      <c r="F862" s="225"/>
      <c r="M862" s="225"/>
    </row>
    <row r="863">
      <c r="F863" s="225"/>
      <c r="M863" s="225"/>
    </row>
    <row r="864">
      <c r="F864" s="225"/>
      <c r="M864" s="225"/>
    </row>
    <row r="865">
      <c r="F865" s="225"/>
      <c r="M865" s="225"/>
    </row>
    <row r="866">
      <c r="F866" s="225"/>
      <c r="M866" s="225"/>
    </row>
    <row r="867">
      <c r="F867" s="225"/>
      <c r="M867" s="225"/>
    </row>
    <row r="868">
      <c r="F868" s="225"/>
      <c r="M868" s="225"/>
    </row>
    <row r="869">
      <c r="F869" s="225"/>
      <c r="M869" s="225"/>
    </row>
    <row r="870">
      <c r="F870" s="225"/>
      <c r="M870" s="225"/>
    </row>
    <row r="871">
      <c r="F871" s="225"/>
      <c r="M871" s="225"/>
    </row>
    <row r="872">
      <c r="F872" s="225"/>
      <c r="M872" s="225"/>
    </row>
    <row r="873">
      <c r="F873" s="225"/>
      <c r="M873" s="225"/>
    </row>
    <row r="874">
      <c r="F874" s="225"/>
      <c r="M874" s="225"/>
    </row>
    <row r="875">
      <c r="F875" s="225"/>
      <c r="M875" s="225"/>
    </row>
    <row r="876">
      <c r="F876" s="225"/>
      <c r="M876" s="225"/>
    </row>
    <row r="877">
      <c r="F877" s="225"/>
      <c r="M877" s="225"/>
    </row>
    <row r="878">
      <c r="F878" s="225"/>
      <c r="M878" s="225"/>
    </row>
    <row r="879">
      <c r="F879" s="225"/>
      <c r="M879" s="225"/>
    </row>
    <row r="880">
      <c r="F880" s="225"/>
      <c r="M880" s="225"/>
    </row>
    <row r="881">
      <c r="F881" s="225"/>
      <c r="M881" s="225"/>
    </row>
    <row r="882">
      <c r="F882" s="225"/>
      <c r="M882" s="225"/>
    </row>
    <row r="883">
      <c r="F883" s="225"/>
      <c r="M883" s="225"/>
    </row>
    <row r="884">
      <c r="F884" s="225"/>
      <c r="M884" s="225"/>
    </row>
    <row r="885">
      <c r="F885" s="225"/>
      <c r="M885" s="225"/>
    </row>
    <row r="886">
      <c r="F886" s="225"/>
      <c r="M886" s="225"/>
    </row>
    <row r="887">
      <c r="F887" s="225"/>
      <c r="M887" s="225"/>
    </row>
    <row r="888">
      <c r="F888" s="225"/>
      <c r="M888" s="225"/>
    </row>
    <row r="889">
      <c r="F889" s="225"/>
      <c r="M889" s="225"/>
    </row>
    <row r="890">
      <c r="F890" s="225"/>
      <c r="M890" s="225"/>
    </row>
    <row r="891">
      <c r="F891" s="225"/>
      <c r="M891" s="225"/>
    </row>
    <row r="892">
      <c r="F892" s="225"/>
      <c r="M892" s="225"/>
    </row>
    <row r="893">
      <c r="F893" s="225"/>
      <c r="M893" s="225"/>
    </row>
    <row r="894">
      <c r="F894" s="225"/>
      <c r="M894" s="225"/>
    </row>
    <row r="895">
      <c r="F895" s="225"/>
      <c r="M895" s="225"/>
    </row>
    <row r="896">
      <c r="F896" s="225"/>
      <c r="M896" s="225"/>
    </row>
    <row r="897">
      <c r="F897" s="225"/>
      <c r="M897" s="225"/>
    </row>
    <row r="898">
      <c r="F898" s="225"/>
      <c r="M898" s="225"/>
    </row>
    <row r="899">
      <c r="F899" s="225"/>
      <c r="M899" s="225"/>
    </row>
    <row r="900">
      <c r="F900" s="225"/>
      <c r="M900" s="225"/>
    </row>
    <row r="901">
      <c r="F901" s="225"/>
      <c r="M901" s="225"/>
    </row>
    <row r="902">
      <c r="F902" s="225"/>
      <c r="M902" s="225"/>
    </row>
    <row r="903">
      <c r="F903" s="225"/>
      <c r="M903" s="225"/>
    </row>
    <row r="904">
      <c r="F904" s="225"/>
      <c r="M904" s="225"/>
    </row>
    <row r="905">
      <c r="F905" s="225"/>
      <c r="M905" s="225"/>
    </row>
    <row r="906">
      <c r="F906" s="225"/>
      <c r="M906" s="225"/>
    </row>
    <row r="907">
      <c r="F907" s="225"/>
      <c r="M907" s="225"/>
    </row>
    <row r="908">
      <c r="F908" s="225"/>
      <c r="M908" s="225"/>
    </row>
    <row r="909">
      <c r="F909" s="225"/>
      <c r="M909" s="225"/>
    </row>
    <row r="910">
      <c r="F910" s="225"/>
      <c r="M910" s="225"/>
    </row>
    <row r="911">
      <c r="F911" s="225"/>
      <c r="M911" s="225"/>
    </row>
    <row r="912">
      <c r="F912" s="225"/>
      <c r="M912" s="225"/>
    </row>
    <row r="913">
      <c r="F913" s="225"/>
      <c r="M913" s="225"/>
    </row>
    <row r="914">
      <c r="F914" s="225"/>
      <c r="M914" s="225"/>
    </row>
    <row r="915">
      <c r="F915" s="225"/>
      <c r="M915" s="225"/>
    </row>
    <row r="916">
      <c r="F916" s="225"/>
      <c r="M916" s="225"/>
    </row>
    <row r="917">
      <c r="F917" s="225"/>
      <c r="M917" s="225"/>
    </row>
    <row r="918">
      <c r="F918" s="225"/>
      <c r="M918" s="225"/>
    </row>
    <row r="919">
      <c r="F919" s="225"/>
      <c r="M919" s="225"/>
    </row>
    <row r="920">
      <c r="F920" s="225"/>
      <c r="M920" s="225"/>
    </row>
    <row r="921">
      <c r="F921" s="225"/>
      <c r="M921" s="225"/>
    </row>
    <row r="922">
      <c r="F922" s="225"/>
      <c r="M922" s="225"/>
    </row>
    <row r="923">
      <c r="F923" s="225"/>
      <c r="M923" s="225"/>
    </row>
    <row r="924">
      <c r="F924" s="225"/>
      <c r="M924" s="225"/>
    </row>
    <row r="925">
      <c r="F925" s="225"/>
      <c r="M925" s="225"/>
    </row>
    <row r="926">
      <c r="F926" s="225"/>
      <c r="M926" s="225"/>
    </row>
    <row r="927">
      <c r="F927" s="225"/>
      <c r="M927" s="225"/>
    </row>
    <row r="928">
      <c r="F928" s="225"/>
      <c r="M928" s="225"/>
    </row>
    <row r="929">
      <c r="F929" s="225"/>
      <c r="M929" s="225"/>
    </row>
    <row r="930">
      <c r="F930" s="225"/>
      <c r="M930" s="225"/>
    </row>
    <row r="931">
      <c r="F931" s="225"/>
      <c r="M931" s="225"/>
    </row>
    <row r="932">
      <c r="F932" s="225"/>
      <c r="M932" s="225"/>
    </row>
    <row r="933">
      <c r="F933" s="225"/>
      <c r="M933" s="225"/>
    </row>
    <row r="934">
      <c r="F934" s="225"/>
      <c r="M934" s="225"/>
    </row>
    <row r="935">
      <c r="F935" s="225"/>
      <c r="M935" s="225"/>
    </row>
    <row r="936">
      <c r="F936" s="225"/>
      <c r="M936" s="225"/>
    </row>
    <row r="937">
      <c r="F937" s="225"/>
      <c r="M937" s="225"/>
    </row>
    <row r="938">
      <c r="F938" s="225"/>
      <c r="M938" s="225"/>
    </row>
    <row r="939">
      <c r="F939" s="225"/>
      <c r="M939" s="225"/>
    </row>
    <row r="940">
      <c r="F940" s="225"/>
      <c r="M940" s="225"/>
    </row>
    <row r="941">
      <c r="F941" s="225"/>
      <c r="M941" s="225"/>
    </row>
    <row r="942">
      <c r="F942" s="225"/>
      <c r="M942" s="225"/>
    </row>
    <row r="943">
      <c r="F943" s="225"/>
      <c r="M943" s="225"/>
    </row>
    <row r="944">
      <c r="F944" s="225"/>
      <c r="M944" s="225"/>
    </row>
    <row r="945">
      <c r="F945" s="225"/>
      <c r="M945" s="225"/>
    </row>
    <row r="946">
      <c r="F946" s="225"/>
      <c r="M946" s="225"/>
    </row>
    <row r="947">
      <c r="F947" s="225"/>
      <c r="M947" s="225"/>
    </row>
    <row r="948">
      <c r="F948" s="225"/>
      <c r="M948" s="225"/>
    </row>
    <row r="949">
      <c r="F949" s="225"/>
      <c r="M949" s="225"/>
    </row>
    <row r="950">
      <c r="F950" s="225"/>
      <c r="M950" s="225"/>
    </row>
    <row r="951">
      <c r="F951" s="225"/>
      <c r="M951" s="225"/>
    </row>
    <row r="952">
      <c r="F952" s="225"/>
      <c r="M952" s="225"/>
    </row>
    <row r="953">
      <c r="F953" s="225"/>
      <c r="M953" s="225"/>
    </row>
    <row r="954">
      <c r="F954" s="225"/>
      <c r="M954" s="225"/>
    </row>
    <row r="955">
      <c r="F955" s="225"/>
      <c r="M955" s="225"/>
    </row>
    <row r="956">
      <c r="F956" s="225"/>
      <c r="M956" s="225"/>
    </row>
    <row r="957">
      <c r="F957" s="225"/>
      <c r="M957" s="225"/>
    </row>
    <row r="958">
      <c r="F958" s="225"/>
      <c r="M958" s="225"/>
    </row>
    <row r="959">
      <c r="F959" s="225"/>
      <c r="M959" s="225"/>
    </row>
    <row r="960">
      <c r="F960" s="225"/>
      <c r="M960" s="225"/>
    </row>
    <row r="961">
      <c r="F961" s="225"/>
      <c r="M961" s="225"/>
    </row>
    <row r="962">
      <c r="F962" s="225"/>
      <c r="M962" s="225"/>
    </row>
    <row r="963">
      <c r="F963" s="225"/>
      <c r="M963" s="225"/>
    </row>
    <row r="964">
      <c r="F964" s="225"/>
      <c r="M964" s="225"/>
    </row>
    <row r="965">
      <c r="F965" s="225"/>
      <c r="M965" s="225"/>
    </row>
    <row r="966">
      <c r="F966" s="225"/>
      <c r="M966" s="225"/>
    </row>
    <row r="967">
      <c r="F967" s="225"/>
      <c r="M967" s="225"/>
    </row>
    <row r="968">
      <c r="F968" s="225"/>
      <c r="M968" s="225"/>
    </row>
    <row r="969">
      <c r="F969" s="225"/>
      <c r="M969" s="225"/>
    </row>
    <row r="970">
      <c r="F970" s="225"/>
      <c r="M970" s="225"/>
    </row>
    <row r="971">
      <c r="F971" s="225"/>
      <c r="M971" s="225"/>
    </row>
    <row r="972">
      <c r="F972" s="225"/>
      <c r="M972" s="225"/>
    </row>
    <row r="973">
      <c r="F973" s="225"/>
      <c r="M973" s="225"/>
    </row>
    <row r="974">
      <c r="F974" s="225"/>
      <c r="M974" s="225"/>
    </row>
    <row r="975">
      <c r="F975" s="225"/>
      <c r="M975" s="225"/>
    </row>
    <row r="976">
      <c r="F976" s="225"/>
      <c r="M976" s="225"/>
    </row>
    <row r="977">
      <c r="F977" s="225"/>
      <c r="M977" s="225"/>
    </row>
    <row r="978">
      <c r="F978" s="225"/>
      <c r="M978" s="225"/>
    </row>
    <row r="979">
      <c r="F979" s="225"/>
      <c r="M979" s="225"/>
    </row>
    <row r="980">
      <c r="F980" s="225"/>
      <c r="M980" s="225"/>
    </row>
    <row r="981">
      <c r="F981" s="225"/>
      <c r="M981" s="225"/>
    </row>
    <row r="982">
      <c r="F982" s="225"/>
      <c r="M982" s="225"/>
    </row>
    <row r="983">
      <c r="F983" s="225"/>
      <c r="M983" s="225"/>
    </row>
    <row r="984">
      <c r="F984" s="225"/>
      <c r="M984" s="225"/>
    </row>
    <row r="985">
      <c r="F985" s="225"/>
      <c r="M985" s="225"/>
    </row>
    <row r="986">
      <c r="F986" s="225"/>
      <c r="M986" s="225"/>
    </row>
    <row r="987">
      <c r="F987" s="225"/>
      <c r="M987" s="225"/>
    </row>
    <row r="988">
      <c r="F988" s="225"/>
      <c r="M988" s="225"/>
    </row>
    <row r="989">
      <c r="F989" s="225"/>
      <c r="M989" s="225"/>
    </row>
    <row r="990">
      <c r="F990" s="225"/>
      <c r="M990" s="225"/>
    </row>
    <row r="991">
      <c r="F991" s="225"/>
      <c r="M991" s="225"/>
    </row>
    <row r="992">
      <c r="F992" s="225"/>
      <c r="M992" s="225"/>
    </row>
    <row r="993">
      <c r="F993" s="225"/>
      <c r="M993" s="225"/>
    </row>
    <row r="994">
      <c r="F994" s="225"/>
      <c r="M994" s="225"/>
    </row>
    <row r="995">
      <c r="F995" s="225"/>
      <c r="M995" s="225"/>
    </row>
    <row r="996">
      <c r="F996" s="225"/>
      <c r="M996" s="225"/>
    </row>
    <row r="997">
      <c r="F997" s="225"/>
      <c r="M997" s="225"/>
    </row>
    <row r="998">
      <c r="F998" s="225"/>
      <c r="M998" s="225"/>
    </row>
    <row r="999">
      <c r="F999" s="225"/>
      <c r="M999" s="225"/>
    </row>
    <row r="1000">
      <c r="F1000" s="225"/>
      <c r="M1000" s="225"/>
    </row>
  </sheetData>
  <mergeCells count="6">
    <mergeCell ref="A4:E4"/>
    <mergeCell ref="H4:L4"/>
    <mergeCell ref="A5:B5"/>
    <mergeCell ref="D5:E5"/>
    <mergeCell ref="H5:I5"/>
    <mergeCell ref="K5:L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29</v>
      </c>
      <c r="B1" s="19" t="s">
        <v>1395</v>
      </c>
      <c r="C1" s="19" t="s">
        <v>263</v>
      </c>
      <c r="F1" s="19" t="s">
        <v>1396</v>
      </c>
    </row>
    <row r="2">
      <c r="A2" s="248">
        <v>45138.0</v>
      </c>
      <c r="B2" s="19" t="s">
        <v>1397</v>
      </c>
      <c r="C2" s="58">
        <v>695.0</v>
      </c>
      <c r="F2" s="19" t="s">
        <v>1398</v>
      </c>
      <c r="G2" s="79">
        <v>2650.7</v>
      </c>
    </row>
    <row r="3">
      <c r="A3" s="249">
        <v>45138.0</v>
      </c>
      <c r="B3" s="19" t="s">
        <v>1399</v>
      </c>
      <c r="C3" s="58">
        <f>2.25%*2054</f>
        <v>46.215</v>
      </c>
      <c r="F3" s="19" t="s">
        <v>1400</v>
      </c>
      <c r="G3" s="79">
        <v>2124.74</v>
      </c>
    </row>
    <row r="4">
      <c r="A4" s="249">
        <v>45139.0</v>
      </c>
      <c r="B4" s="19" t="s">
        <v>1399</v>
      </c>
      <c r="C4" s="79">
        <v>53.2</v>
      </c>
      <c r="F4" s="19" t="s">
        <v>1401</v>
      </c>
      <c r="G4" s="58">
        <v>3000.0</v>
      </c>
    </row>
    <row r="5">
      <c r="A5" s="250">
        <v>45139.0</v>
      </c>
      <c r="B5" s="19" t="s">
        <v>1402</v>
      </c>
      <c r="C5" s="58">
        <v>-120.0</v>
      </c>
    </row>
    <row r="6">
      <c r="A6" s="249">
        <v>45139.0</v>
      </c>
      <c r="B6" s="19" t="s">
        <v>1403</v>
      </c>
      <c r="C6" s="58">
        <v>-200.0</v>
      </c>
    </row>
    <row r="7">
      <c r="A7" s="249">
        <v>45165.0</v>
      </c>
      <c r="B7" s="19" t="s">
        <v>1399</v>
      </c>
      <c r="C7" s="58">
        <v>46.0</v>
      </c>
    </row>
    <row r="8">
      <c r="A8" s="249">
        <v>45165.0</v>
      </c>
      <c r="B8" s="19" t="s">
        <v>1404</v>
      </c>
      <c r="C8" s="58">
        <v>200.0</v>
      </c>
    </row>
    <row r="9">
      <c r="A9" s="13">
        <v>2024.0</v>
      </c>
      <c r="B9" s="19" t="s">
        <v>1405</v>
      </c>
      <c r="C9" s="58">
        <v>-200.0</v>
      </c>
    </row>
    <row r="10">
      <c r="A10" s="13" t="s">
        <v>1406</v>
      </c>
      <c r="C10">
        <f>175*1.1*10</f>
        <v>1925</v>
      </c>
    </row>
    <row r="11">
      <c r="A11" s="13" t="s">
        <v>1407</v>
      </c>
      <c r="C11" s="63">
        <f>C10-sum(C2:C9)</f>
        <v>1404.585</v>
      </c>
    </row>
    <row r="14">
      <c r="A14" s="19" t="s">
        <v>29</v>
      </c>
      <c r="B14" s="19" t="s">
        <v>1395</v>
      </c>
      <c r="C14" s="19" t="s">
        <v>263</v>
      </c>
    </row>
    <row r="15">
      <c r="A15" s="248">
        <v>45197.0</v>
      </c>
      <c r="B15" s="19" t="s">
        <v>1397</v>
      </c>
      <c r="C15" s="58">
        <v>295.0</v>
      </c>
    </row>
    <row r="16">
      <c r="A16" s="249">
        <v>45197.0</v>
      </c>
      <c r="B16" s="19" t="s">
        <v>1408</v>
      </c>
      <c r="C16" s="58"/>
    </row>
    <row r="17">
      <c r="A17" s="249"/>
      <c r="C17" s="79"/>
    </row>
    <row r="18">
      <c r="A18" s="250"/>
      <c r="C18" s="58"/>
    </row>
    <row r="19">
      <c r="A19" s="249"/>
      <c r="C19" s="58"/>
    </row>
    <row r="20">
      <c r="A20" s="249"/>
      <c r="C20" s="58"/>
    </row>
    <row r="21">
      <c r="A21" s="249"/>
      <c r="C21" s="58"/>
    </row>
    <row r="22">
      <c r="A22" s="13"/>
      <c r="C22" s="58"/>
    </row>
    <row r="23">
      <c r="A23" s="13" t="s">
        <v>1406</v>
      </c>
      <c r="C23">
        <f>175*1.1*10</f>
        <v>1925</v>
      </c>
    </row>
    <row r="24">
      <c r="A24" s="13" t="s">
        <v>1407</v>
      </c>
      <c r="C24" s="63">
        <f>C23-sum(C15:C22)</f>
        <v>1630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51"/>
      <c r="F2" s="252"/>
    </row>
    <row r="3">
      <c r="A3" s="253" t="s">
        <v>10</v>
      </c>
      <c r="B3" s="254" t="str">
        <f>sum(Budget!C38:C40)</f>
        <v>#REF!</v>
      </c>
      <c r="D3" s="255" t="s">
        <v>1409</v>
      </c>
      <c r="E3" s="255" t="s">
        <v>1410</v>
      </c>
      <c r="F3" s="71">
        <v>0.01</v>
      </c>
      <c r="G3" s="19">
        <v>1.0</v>
      </c>
    </row>
    <row r="4">
      <c r="A4" s="256" t="s">
        <v>14</v>
      </c>
      <c r="B4" s="257" t="str">
        <f>Sum(Budget!C45:C49)</f>
        <v>#REF!</v>
      </c>
      <c r="D4" s="255" t="s">
        <v>1411</v>
      </c>
      <c r="E4" s="255" t="s">
        <v>1412</v>
      </c>
      <c r="F4" s="71">
        <v>0.02</v>
      </c>
      <c r="G4" s="19">
        <v>2.0</v>
      </c>
    </row>
    <row r="5">
      <c r="A5" s="258" t="s">
        <v>15</v>
      </c>
      <c r="B5" s="259" t="str">
        <f>sum(Budget!F38:F47)</f>
        <v>#REF!</v>
      </c>
      <c r="D5" s="255" t="s">
        <v>1413</v>
      </c>
      <c r="E5" s="255" t="s">
        <v>1414</v>
      </c>
      <c r="F5" s="71">
        <v>0.03</v>
      </c>
      <c r="G5" s="19">
        <v>3.0</v>
      </c>
    </row>
    <row r="6">
      <c r="A6" s="260" t="s">
        <v>17</v>
      </c>
      <c r="B6" s="261" t="str">
        <f>SUM(Budget!C59)</f>
        <v>#REF!</v>
      </c>
      <c r="D6" s="255" t="s">
        <v>1415</v>
      </c>
      <c r="E6" s="255" t="s">
        <v>1416</v>
      </c>
      <c r="F6" s="71">
        <v>0.04</v>
      </c>
      <c r="G6" s="19">
        <v>4.0</v>
      </c>
    </row>
    <row r="7">
      <c r="A7" s="19" t="s">
        <v>19</v>
      </c>
      <c r="D7" s="255" t="s">
        <v>1417</v>
      </c>
      <c r="F7" s="71">
        <v>0.05</v>
      </c>
      <c r="G7" s="19">
        <v>5.0</v>
      </c>
    </row>
    <row r="8">
      <c r="A8" s="19" t="s">
        <v>79</v>
      </c>
      <c r="D8" s="255" t="s">
        <v>1418</v>
      </c>
      <c r="F8" s="71">
        <v>0.06</v>
      </c>
      <c r="G8" s="19">
        <v>6.0</v>
      </c>
    </row>
    <row r="9">
      <c r="A9" s="19" t="s">
        <v>22</v>
      </c>
      <c r="D9" s="255" t="s">
        <v>1419</v>
      </c>
      <c r="F9" s="71">
        <v>0.07</v>
      </c>
      <c r="G9" s="19">
        <v>7.0</v>
      </c>
    </row>
    <row r="10">
      <c r="A10" s="19" t="s">
        <v>24</v>
      </c>
      <c r="F10" s="71"/>
      <c r="G10" s="19"/>
    </row>
    <row r="11">
      <c r="A11" s="19" t="s">
        <v>571</v>
      </c>
      <c r="F11" s="71">
        <v>0.08</v>
      </c>
      <c r="G11" s="19">
        <v>8.0</v>
      </c>
    </row>
    <row r="12">
      <c r="A12" s="19" t="s">
        <v>25</v>
      </c>
      <c r="F12" s="71">
        <v>0.09</v>
      </c>
      <c r="G12" s="19">
        <v>9.0</v>
      </c>
    </row>
    <row r="13">
      <c r="A13" s="262"/>
      <c r="B13" s="263"/>
      <c r="D13" s="251"/>
      <c r="F13" s="71">
        <v>0.1</v>
      </c>
      <c r="G13" s="19">
        <v>10.0</v>
      </c>
    </row>
    <row r="14">
      <c r="A14" s="262"/>
      <c r="B14" s="263"/>
      <c r="D14" s="251"/>
      <c r="F14" s="71">
        <v>0.11</v>
      </c>
      <c r="G14" s="19">
        <v>11.0</v>
      </c>
    </row>
    <row r="15">
      <c r="A15" s="262"/>
      <c r="B15" s="263"/>
      <c r="F15" s="71">
        <v>0.12</v>
      </c>
      <c r="G15" s="19">
        <v>12.0</v>
      </c>
    </row>
    <row r="16">
      <c r="C16" s="19" t="s">
        <v>1420</v>
      </c>
      <c r="D16">
        <f>B21</f>
        <v>2668</v>
      </c>
      <c r="F16" s="71">
        <v>0.13</v>
      </c>
      <c r="G16" s="19">
        <v>13.0</v>
      </c>
    </row>
    <row r="17">
      <c r="C17" s="19" t="s">
        <v>1421</v>
      </c>
      <c r="D17">
        <f>B22-B21</f>
        <v>-622</v>
      </c>
      <c r="F17" s="71">
        <v>0.14</v>
      </c>
      <c r="G17" s="19">
        <v>14.0</v>
      </c>
    </row>
    <row r="18">
      <c r="A18" s="19" t="s">
        <v>32</v>
      </c>
      <c r="F18" s="71">
        <v>0.15</v>
      </c>
      <c r="G18" s="19">
        <v>15.0</v>
      </c>
    </row>
    <row r="19">
      <c r="A19" s="19" t="s">
        <v>1422</v>
      </c>
      <c r="F19" s="71">
        <v>0.16</v>
      </c>
      <c r="G19" s="19">
        <v>16.0</v>
      </c>
    </row>
    <row r="20">
      <c r="A20" s="19" t="s">
        <v>1423</v>
      </c>
      <c r="F20" s="71">
        <v>0.17</v>
      </c>
      <c r="G20" s="19">
        <v>17.0</v>
      </c>
    </row>
    <row r="21">
      <c r="A21" s="264">
        <f>'Large Purchase Calculator'!C12</f>
        <v>43192</v>
      </c>
      <c r="B21" s="19">
        <f>DATEDIF(A21,A22,"D")</f>
        <v>2668</v>
      </c>
      <c r="F21" s="71">
        <v>0.18</v>
      </c>
      <c r="G21" s="19">
        <v>18.0</v>
      </c>
    </row>
    <row r="22">
      <c r="A22" s="264">
        <f>Now()</f>
        <v>45860.88679</v>
      </c>
      <c r="B22">
        <f>DATEDIF(A21,A23,"D")</f>
        <v>2046</v>
      </c>
      <c r="F22" s="71">
        <v>0.19</v>
      </c>
      <c r="G22" s="19">
        <v>19.0</v>
      </c>
    </row>
    <row r="23">
      <c r="A23" s="265">
        <f>DATE(YEAR('Large Purchase Calculator'!C12),MONTH('Large Purchase Calculator'!C12)+'Large Purchase Calculator'!B10,YEAR('Large Purchase Calculator'!C12))</f>
        <v>45238</v>
      </c>
      <c r="B23">
        <f>B21/B22</f>
        <v>1.30400782</v>
      </c>
      <c r="F23" s="71">
        <v>0.2</v>
      </c>
      <c r="G23" s="19">
        <v>20.0</v>
      </c>
    </row>
    <row r="24">
      <c r="F24" s="71">
        <v>0.21</v>
      </c>
      <c r="G24" s="19">
        <v>21.0</v>
      </c>
    </row>
    <row r="25">
      <c r="F25" s="71">
        <v>0.22</v>
      </c>
      <c r="G25" s="19">
        <v>22.0</v>
      </c>
    </row>
    <row r="26">
      <c r="F26" s="71">
        <v>0.23</v>
      </c>
      <c r="G26" s="19">
        <v>23.0</v>
      </c>
    </row>
    <row r="27">
      <c r="F27" s="71">
        <v>0.24</v>
      </c>
      <c r="G27" s="19">
        <v>24.0</v>
      </c>
    </row>
    <row r="28">
      <c r="F28" s="71">
        <v>0.25</v>
      </c>
      <c r="G28" s="19">
        <v>25.0</v>
      </c>
    </row>
    <row r="29">
      <c r="F29" s="71">
        <v>0.26</v>
      </c>
      <c r="G29" s="19">
        <v>26.0</v>
      </c>
    </row>
    <row r="30">
      <c r="F30" s="71">
        <v>0.27</v>
      </c>
      <c r="G30" s="19">
        <v>27.0</v>
      </c>
    </row>
    <row r="31">
      <c r="A31">
        <f>(300*52)/12</f>
        <v>1300</v>
      </c>
      <c r="F31" s="71">
        <v>0.28</v>
      </c>
      <c r="G31" s="19">
        <v>28.0</v>
      </c>
    </row>
    <row r="32">
      <c r="A32">
        <f>330*4</f>
        <v>1320</v>
      </c>
      <c r="F32" s="71">
        <v>0.29</v>
      </c>
      <c r="G32" s="19">
        <v>29.0</v>
      </c>
    </row>
    <row r="33">
      <c r="F33" s="71">
        <v>0.3</v>
      </c>
    </row>
    <row r="34">
      <c r="F34" s="71">
        <v>0.31</v>
      </c>
    </row>
    <row r="35">
      <c r="F35" s="71">
        <v>0.32</v>
      </c>
    </row>
    <row r="36">
      <c r="F36" s="71">
        <v>0.33</v>
      </c>
    </row>
    <row r="37">
      <c r="F37" s="71">
        <v>0.34</v>
      </c>
    </row>
    <row r="38">
      <c r="F38" s="71">
        <v>0.35</v>
      </c>
    </row>
    <row r="39">
      <c r="F39" s="71">
        <v>0.36</v>
      </c>
    </row>
    <row r="40">
      <c r="F40" s="71">
        <v>0.37</v>
      </c>
    </row>
    <row r="41">
      <c r="F41" s="71">
        <v>0.38</v>
      </c>
    </row>
    <row r="42">
      <c r="F42" s="71">
        <v>0.39</v>
      </c>
    </row>
    <row r="43">
      <c r="F43" s="71">
        <v>0.4</v>
      </c>
    </row>
    <row r="44">
      <c r="F44" s="71">
        <v>0.41</v>
      </c>
    </row>
    <row r="45">
      <c r="F45" s="71">
        <v>0.42</v>
      </c>
    </row>
    <row r="46">
      <c r="F46" s="71">
        <v>0.43</v>
      </c>
    </row>
    <row r="47">
      <c r="F47" s="71">
        <v>0.44</v>
      </c>
    </row>
    <row r="48">
      <c r="F48" s="71">
        <v>0.45</v>
      </c>
    </row>
    <row r="49">
      <c r="F49" s="71">
        <v>0.46</v>
      </c>
    </row>
    <row r="50">
      <c r="F50" s="71">
        <v>0.47</v>
      </c>
    </row>
    <row r="51">
      <c r="F51" s="71">
        <v>0.48</v>
      </c>
    </row>
    <row r="52">
      <c r="F52" s="71">
        <v>0.49</v>
      </c>
    </row>
    <row r="53">
      <c r="F53" s="71">
        <v>0.5</v>
      </c>
    </row>
    <row r="54">
      <c r="F54" s="71">
        <v>0.51</v>
      </c>
    </row>
    <row r="55">
      <c r="F55" s="71">
        <v>0.52</v>
      </c>
    </row>
    <row r="56">
      <c r="F56" s="71">
        <v>0.53</v>
      </c>
    </row>
    <row r="57">
      <c r="F57" s="71">
        <v>0.54</v>
      </c>
    </row>
    <row r="58">
      <c r="F58" s="71">
        <v>0.55</v>
      </c>
    </row>
    <row r="59">
      <c r="F59" s="71">
        <v>0.56</v>
      </c>
    </row>
    <row r="60">
      <c r="F60" s="71">
        <v>0.57</v>
      </c>
    </row>
    <row r="61">
      <c r="F61" s="71">
        <v>0.58</v>
      </c>
    </row>
    <row r="62">
      <c r="F62" s="71">
        <v>0.59</v>
      </c>
    </row>
    <row r="63">
      <c r="F63" s="71">
        <v>0.6</v>
      </c>
    </row>
    <row r="64">
      <c r="F64" s="71">
        <v>0.61</v>
      </c>
    </row>
    <row r="65">
      <c r="F65" s="71">
        <v>0.62</v>
      </c>
    </row>
    <row r="66">
      <c r="F66" s="71">
        <v>0.63</v>
      </c>
    </row>
    <row r="67">
      <c r="F67" s="71">
        <v>0.64</v>
      </c>
    </row>
    <row r="68">
      <c r="F68" s="71">
        <v>0.65</v>
      </c>
    </row>
    <row r="69">
      <c r="F69" s="71">
        <v>0.66</v>
      </c>
    </row>
    <row r="70">
      <c r="F70" s="71">
        <v>0.67</v>
      </c>
    </row>
    <row r="71">
      <c r="F71" s="71">
        <v>0.68</v>
      </c>
    </row>
    <row r="72">
      <c r="F72" s="71">
        <v>0.69</v>
      </c>
    </row>
    <row r="73">
      <c r="F73" s="71">
        <v>0.7</v>
      </c>
    </row>
    <row r="74">
      <c r="F74" s="71">
        <v>0.71</v>
      </c>
    </row>
    <row r="75">
      <c r="F75" s="71">
        <v>0.72</v>
      </c>
    </row>
    <row r="76">
      <c r="F76" s="71">
        <v>0.73</v>
      </c>
    </row>
    <row r="77">
      <c r="F77" s="71">
        <v>0.74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75"/>
    <col customWidth="1" min="2" max="6" width="19.38"/>
  </cols>
  <sheetData>
    <row r="2">
      <c r="A2" s="266" t="s">
        <v>1424</v>
      </c>
    </row>
    <row r="4">
      <c r="B4" s="267" t="s">
        <v>1425</v>
      </c>
      <c r="C4" s="268"/>
      <c r="D4" s="218" t="b">
        <v>1</v>
      </c>
      <c r="E4" s="218"/>
      <c r="F4" s="218"/>
    </row>
    <row r="5">
      <c r="D5" s="221"/>
      <c r="E5" s="221"/>
      <c r="F5" s="221"/>
    </row>
    <row r="6">
      <c r="A6" s="19"/>
      <c r="B6" s="269"/>
      <c r="D6" s="270" t="s">
        <v>1426</v>
      </c>
      <c r="E6" s="270" t="s">
        <v>1427</v>
      </c>
      <c r="F6" s="270" t="s">
        <v>1428</v>
      </c>
    </row>
    <row r="7">
      <c r="A7" s="19"/>
      <c r="B7" s="269" t="s">
        <v>1429</v>
      </c>
      <c r="D7" s="271">
        <v>10000.0</v>
      </c>
      <c r="E7" s="271">
        <v>2000.0</v>
      </c>
      <c r="F7" s="271">
        <v>10000.0</v>
      </c>
    </row>
    <row r="8">
      <c r="A8" s="19"/>
      <c r="B8" s="269" t="s">
        <v>1430</v>
      </c>
      <c r="D8" s="272">
        <v>0.1</v>
      </c>
      <c r="E8" s="272">
        <v>0.1</v>
      </c>
      <c r="F8" s="272">
        <v>0.1</v>
      </c>
    </row>
    <row r="9">
      <c r="A9" s="19"/>
      <c r="B9" s="273" t="s">
        <v>1431</v>
      </c>
      <c r="D9" s="274">
        <v>23.0</v>
      </c>
      <c r="E9" s="274">
        <v>35.0</v>
      </c>
      <c r="F9" s="274">
        <v>35.0</v>
      </c>
    </row>
    <row r="10">
      <c r="G10" s="19"/>
    </row>
    <row r="12">
      <c r="A12" s="19"/>
      <c r="B12" s="275" t="s">
        <v>1432</v>
      </c>
      <c r="C12" s="276"/>
      <c r="D12" s="276"/>
      <c r="E12" s="276"/>
      <c r="F12" s="276"/>
    </row>
    <row r="13">
      <c r="B13" s="277" t="str">
        <f>D6</f>
        <v>Card 1</v>
      </c>
      <c r="D13" s="277" t="str">
        <f t="shared" ref="D13:E13" si="1">E6</f>
        <v>Card 2</v>
      </c>
      <c r="E13" s="277" t="str">
        <f t="shared" si="1"/>
        <v>Card 3</v>
      </c>
    </row>
    <row r="14">
      <c r="B14" s="278" t="str">
        <f>IFERROR(__xludf.DUMMYFUNCTION("IF(B20=TRUE, iferror((ROUNDUP(NPER(D8/12,-B22,D7,0),0)),""N/A""),iferror((ROUNDUP(NPER(D8/12,-D9,D7,0),0)),""N/A"")             )"),"N/A")</f>
        <v>N/A</v>
      </c>
      <c r="D14" s="278">
        <f>IFERROR(__xludf.DUMMYFUNCTION("IF(D20=TRUE, iferror((ROUNDUP(NPER(E8/12,-D22,E7,0),0)),""N/A""),iferror((ROUNDUP(NPER(E8/12,-E9,E7,0),0)),""N/A"")             )"),78.0)</f>
        <v>78</v>
      </c>
      <c r="E14" s="278" t="str">
        <f>IFERROR(__xludf.DUMMYFUNCTION("IF(E20=TRUE, iferror((ROUNDUP(NPER(F8/12,-E22,F7,0),0)),""N/A""),iferror((ROUNDUP(NPER(F8/12,-F9,F7,0),0)),""N/A"")             )"),"N/A")</f>
        <v>N/A</v>
      </c>
      <c r="G14" s="278"/>
    </row>
    <row r="15">
      <c r="A15" s="19"/>
      <c r="B15" s="275" t="s">
        <v>1433</v>
      </c>
      <c r="C15" s="276"/>
      <c r="D15" s="276"/>
      <c r="E15" s="276"/>
      <c r="F15" s="276"/>
    </row>
    <row r="16">
      <c r="A16" s="279"/>
      <c r="B16" s="277" t="str">
        <f>D6</f>
        <v>Card 1</v>
      </c>
      <c r="D16" s="277" t="str">
        <f t="shared" ref="D16:E16" si="2">E6</f>
        <v>Card 2</v>
      </c>
      <c r="E16" s="277" t="str">
        <f t="shared" si="2"/>
        <v>Card 3</v>
      </c>
    </row>
    <row r="17">
      <c r="A17" s="279"/>
      <c r="B17" s="277" t="str">
        <f>IFERROR(__xludf.DUMMYFUNCTION("IF(B20=TRUE, (iferror(((NPER(D8/12,-B22,D7,0)*B22)-D7),""N/A"")),(iferror(((NPER(D8/12,-D9,D7,0)*D9)-D7),""N/A"")))"),"N/A")</f>
        <v>N/A</v>
      </c>
      <c r="D17" s="277">
        <f>IFERROR(__xludf.DUMMYFUNCTION("IF(D20=TRUE, (iferror(((NPER(E8/12,-D22,E7,0)*D22)-E7),""N/A"")),(iferror(((NPER(E8/12,-E9,E7,0)*E9)-E7),""N/A"")))"),727.1344165813198)</f>
        <v>727.1344166</v>
      </c>
      <c r="E17" s="277" t="str">
        <f>IFERROR(__xludf.DUMMYFUNCTION("IF(E20=TRUE, (iferror(((NPER(F8/12,-E22,F7,0)*E22)-F7),""N/A"")),(iferror(((NPER(F8/12,-F9,F7,0)*F9)-F7),""N/A"")))"),"N/A")</f>
        <v>N/A</v>
      </c>
      <c r="G17" s="278"/>
    </row>
    <row r="18">
      <c r="B18" s="275" t="s">
        <v>1434</v>
      </c>
      <c r="C18" s="276"/>
      <c r="D18" s="276"/>
      <c r="E18" s="276"/>
      <c r="F18" s="276"/>
    </row>
    <row r="19">
      <c r="B19" s="277" t="str">
        <f>D6</f>
        <v>Card 1</v>
      </c>
      <c r="D19" s="277" t="str">
        <f t="shared" ref="D19:E19" si="3">E6</f>
        <v>Card 2</v>
      </c>
      <c r="E19" s="277" t="str">
        <f t="shared" si="3"/>
        <v>Card 3</v>
      </c>
    </row>
    <row r="20">
      <c r="B20" s="19" t="b">
        <v>1</v>
      </c>
      <c r="D20" s="278" t="b">
        <v>0</v>
      </c>
      <c r="E20" s="19" t="b">
        <v>0</v>
      </c>
    </row>
    <row r="21">
      <c r="B21" s="280" t="str">
        <f>IF(B20=TRUE,"How much  are you paying monthly?",IF(D20=TRUE ,"How much  are you paying monthly?",IF(E20=TRUE,"How much  are you paying monthly?"," ")))</f>
        <v>How much  are you paying monthly?</v>
      </c>
    </row>
    <row r="22">
      <c r="B22" s="281">
        <v>20.0</v>
      </c>
      <c r="C22" s="282"/>
      <c r="D22" s="283">
        <v>0.0</v>
      </c>
      <c r="E22" s="283">
        <v>0.0</v>
      </c>
      <c r="F22" s="284"/>
    </row>
    <row r="23">
      <c r="B23" s="285"/>
      <c r="C23" s="286"/>
      <c r="D23" s="286"/>
      <c r="E23" s="286"/>
      <c r="F23" s="287"/>
    </row>
    <row r="24">
      <c r="B24" s="288"/>
    </row>
    <row r="25">
      <c r="B25" s="288" t="s">
        <v>1435</v>
      </c>
    </row>
    <row r="28">
      <c r="B28" s="288" t="s">
        <v>78</v>
      </c>
    </row>
    <row r="29">
      <c r="B29" s="288"/>
    </row>
    <row r="30" hidden="1">
      <c r="B30" s="289">
        <f>SUM((IF(B20=TRUE,B22,D9)),(IF(D20=TRUE,D22,E9)),(If(E20=TRUE,E22,F9)))</f>
        <v>90</v>
      </c>
    </row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</sheetData>
  <mergeCells count="24">
    <mergeCell ref="E13:F13"/>
    <mergeCell ref="E14:F14"/>
    <mergeCell ref="E16:F16"/>
    <mergeCell ref="E17:F17"/>
    <mergeCell ref="A2:G3"/>
    <mergeCell ref="B7:C7"/>
    <mergeCell ref="B8:C8"/>
    <mergeCell ref="B9:C9"/>
    <mergeCell ref="B12:F12"/>
    <mergeCell ref="B13:C13"/>
    <mergeCell ref="B15:F15"/>
    <mergeCell ref="E20:F20"/>
    <mergeCell ref="B21:F21"/>
    <mergeCell ref="B22:C23"/>
    <mergeCell ref="D22:D23"/>
    <mergeCell ref="E22:F23"/>
    <mergeCell ref="B25:F27"/>
    <mergeCell ref="B14:C14"/>
    <mergeCell ref="B16:C16"/>
    <mergeCell ref="B17:C17"/>
    <mergeCell ref="B18:F18"/>
    <mergeCell ref="B19:C19"/>
    <mergeCell ref="E19:F19"/>
    <mergeCell ref="B20:C20"/>
  </mergeCells>
  <conditionalFormatting sqref="B22:C23">
    <cfRule type="expression" dxfId="4" priority="1">
      <formula>B20=FALSE</formula>
    </cfRule>
  </conditionalFormatting>
  <conditionalFormatting sqref="D22:D23">
    <cfRule type="expression" dxfId="5" priority="2">
      <formula>D20=FALSE</formula>
    </cfRule>
  </conditionalFormatting>
  <conditionalFormatting sqref="E22:F23">
    <cfRule type="expression" dxfId="5" priority="3">
      <formula>E20=FALSE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5"/>
  </cols>
  <sheetData>
    <row r="1">
      <c r="A1" s="290"/>
      <c r="B1" s="290"/>
      <c r="C1" s="290"/>
      <c r="D1" s="290"/>
      <c r="E1" s="290"/>
    </row>
    <row r="2">
      <c r="A2" s="291" t="s">
        <v>1436</v>
      </c>
    </row>
    <row r="4">
      <c r="B4" s="251"/>
      <c r="C4" s="251"/>
      <c r="D4" s="251"/>
    </row>
    <row r="5">
      <c r="B5" s="292" t="s">
        <v>1437</v>
      </c>
      <c r="C5" s="276"/>
      <c r="D5" s="276"/>
    </row>
    <row r="6">
      <c r="B6" s="278" t="s">
        <v>1438</v>
      </c>
    </row>
    <row r="7">
      <c r="B7" s="292" t="s">
        <v>1439</v>
      </c>
      <c r="C7" s="276"/>
      <c r="D7" s="276"/>
    </row>
    <row r="8">
      <c r="B8" s="278">
        <v>300.0</v>
      </c>
    </row>
    <row r="9">
      <c r="B9" s="292" t="s">
        <v>1440</v>
      </c>
      <c r="C9" s="276"/>
      <c r="D9" s="276"/>
    </row>
    <row r="10">
      <c r="B10" s="278">
        <v>1.0</v>
      </c>
    </row>
    <row r="11">
      <c r="B11" s="293"/>
      <c r="C11" s="293"/>
      <c r="D11" s="293"/>
    </row>
    <row r="12">
      <c r="B12" s="288" t="s">
        <v>1441</v>
      </c>
      <c r="C12" s="294">
        <v>43192.0</v>
      </c>
    </row>
    <row r="13">
      <c r="B13" s="292" t="s">
        <v>1442</v>
      </c>
      <c r="C13" s="276"/>
      <c r="D13" s="276"/>
    </row>
    <row r="14">
      <c r="B14" s="293">
        <f>B8/B10</f>
        <v>300</v>
      </c>
    </row>
    <row r="15">
      <c r="B15" s="19" t="b">
        <v>1</v>
      </c>
      <c r="C15" s="255" t="s">
        <v>1443</v>
      </c>
    </row>
    <row r="24" ht="53.25" customHeight="1"/>
    <row r="25" ht="27.0" customHeight="1">
      <c r="A25" s="295" t="str">
        <f>if(B15=TRUE,"!", " " )</f>
        <v>!</v>
      </c>
      <c r="B25" s="296" t="str">
        <f>if(B15=TRUE,"Your budget has been automatically adjusted to add this expense! please go check your budget!", " " )</f>
        <v>Your budget has been automatically adjusted to add this expense! please go check your budget!</v>
      </c>
      <c r="E25" s="297" t="str">
        <f>if(B15=TRUE,"!", " " )</f>
        <v>!</v>
      </c>
    </row>
  </sheetData>
  <mergeCells count="12">
    <mergeCell ref="C12:D12"/>
    <mergeCell ref="B13:D13"/>
    <mergeCell ref="B14:D14"/>
    <mergeCell ref="C15:D15"/>
    <mergeCell ref="B25:D25"/>
    <mergeCell ref="A2:E3"/>
    <mergeCell ref="B5:D5"/>
    <mergeCell ref="B6:D6"/>
    <mergeCell ref="B7:D7"/>
    <mergeCell ref="B8:D8"/>
    <mergeCell ref="B9:D9"/>
    <mergeCell ref="B10:D10"/>
  </mergeCells>
  <conditionalFormatting sqref="B5:C5 B7:C7 B9:C9 B13:C13">
    <cfRule type="expression" dxfId="6" priority="1">
      <formula>#REF!=TRUE</formula>
    </cfRule>
  </conditionalFormatting>
  <dataValidations>
    <dataValidation type="list" allowBlank="1" sqref="B10">
      <formula1>'Hidden list and Figures'!$G$3:$G$27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2">
      <c r="B2" s="19" t="s">
        <v>1444</v>
      </c>
      <c r="C2" s="19" t="s">
        <v>1445</v>
      </c>
    </row>
    <row r="3">
      <c r="A3" s="19" t="s">
        <v>1446</v>
      </c>
      <c r="B3" s="58">
        <v>120000.0</v>
      </c>
      <c r="C3" s="58">
        <v>148700.0</v>
      </c>
      <c r="E3" s="63">
        <f>0.05*(C3-C4)</f>
        <v>6310</v>
      </c>
    </row>
    <row r="4">
      <c r="A4" s="19" t="s">
        <v>1447</v>
      </c>
      <c r="B4" s="58">
        <v>22500.0</v>
      </c>
      <c r="C4" s="58">
        <v>22500.0</v>
      </c>
      <c r="D4" s="19" t="s">
        <v>1448</v>
      </c>
      <c r="E4" s="63">
        <f>E3/24</f>
        <v>262.9166667</v>
      </c>
    </row>
    <row r="5">
      <c r="A5" s="19" t="s">
        <v>1449</v>
      </c>
      <c r="B5" s="19">
        <v>0.0</v>
      </c>
      <c r="C5" s="58">
        <v>3360.0</v>
      </c>
    </row>
    <row r="6">
      <c r="A6" s="19" t="s">
        <v>246</v>
      </c>
      <c r="B6" s="19">
        <v>0.0</v>
      </c>
      <c r="C6" s="58">
        <v>3000.0</v>
      </c>
      <c r="E6" s="19" t="s">
        <v>1450</v>
      </c>
      <c r="F6" s="19" t="s">
        <v>1451</v>
      </c>
    </row>
    <row r="7">
      <c r="A7" s="19" t="s">
        <v>1452</v>
      </c>
      <c r="B7" s="63">
        <f t="shared" ref="B7:C7" si="1">(B3-B4)*0.22</f>
        <v>21450</v>
      </c>
      <c r="C7" s="63">
        <f t="shared" si="1"/>
        <v>27764</v>
      </c>
      <c r="D7" s="19" t="s">
        <v>1453</v>
      </c>
      <c r="E7" s="63">
        <f>C7/24</f>
        <v>1156.833333</v>
      </c>
      <c r="F7" s="58">
        <v>1400.0</v>
      </c>
    </row>
    <row r="8">
      <c r="A8" s="19" t="s">
        <v>1390</v>
      </c>
      <c r="C8" s="58">
        <v>14000.0</v>
      </c>
    </row>
    <row r="9">
      <c r="A9" s="19" t="s">
        <v>1454</v>
      </c>
      <c r="C9" s="58">
        <v>17000.0</v>
      </c>
      <c r="D9" s="19" t="s">
        <v>1455</v>
      </c>
      <c r="E9" s="19">
        <f>8000/24</f>
        <v>333.3333333</v>
      </c>
    </row>
    <row r="11">
      <c r="A11" s="19" t="s">
        <v>1456</v>
      </c>
      <c r="B11" s="63">
        <f>B3-sum(B4:B8)</f>
        <v>76050</v>
      </c>
      <c r="C11" s="63">
        <f>C3-sum(C4:C10)</f>
        <v>61076</v>
      </c>
    </row>
    <row r="12">
      <c r="A12" s="19" t="s">
        <v>1457</v>
      </c>
      <c r="B12" s="63">
        <f t="shared" ref="B12:C12" si="2">B11/12</f>
        <v>6337.5</v>
      </c>
      <c r="C12" s="63">
        <f t="shared" si="2"/>
        <v>5089.666667</v>
      </c>
    </row>
    <row r="13">
      <c r="A13" s="19" t="s">
        <v>1458</v>
      </c>
      <c r="B13" s="63">
        <f t="shared" ref="B13:C13" si="3">B12/2</f>
        <v>3168.75</v>
      </c>
      <c r="C13" s="63">
        <f t="shared" si="3"/>
        <v>2544.833333</v>
      </c>
    </row>
    <row r="15">
      <c r="A15" s="19" t="s">
        <v>1459</v>
      </c>
      <c r="B15" s="63">
        <f>B13</f>
        <v>3168.75</v>
      </c>
      <c r="C15" s="58">
        <v>1700.0</v>
      </c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</row>
    <row r="17">
      <c r="A17" s="13" t="s">
        <v>1460</v>
      </c>
      <c r="B17" s="58">
        <v>9700.0</v>
      </c>
      <c r="C17" s="298" t="s">
        <v>1461</v>
      </c>
      <c r="E17" s="19" t="s">
        <v>1462</v>
      </c>
      <c r="G17" s="63">
        <f>(sum(B18:B25)-B24)*6</f>
        <v>25200</v>
      </c>
    </row>
    <row r="18">
      <c r="A18" s="19" t="s">
        <v>33</v>
      </c>
      <c r="B18" s="58">
        <v>2100.0</v>
      </c>
      <c r="C18" s="63">
        <f>B17-B18</f>
        <v>7600</v>
      </c>
    </row>
    <row r="19">
      <c r="A19" s="19" t="s">
        <v>12</v>
      </c>
      <c r="B19" s="58">
        <v>200.0</v>
      </c>
      <c r="C19" s="63">
        <f t="shared" ref="C19:C26" si="4">C18-B19</f>
        <v>7400</v>
      </c>
    </row>
    <row r="20">
      <c r="A20" s="19" t="s">
        <v>23</v>
      </c>
      <c r="B20" s="58">
        <v>100.0</v>
      </c>
      <c r="C20" s="63">
        <f t="shared" si="4"/>
        <v>7300</v>
      </c>
    </row>
    <row r="21">
      <c r="A21" s="19" t="s">
        <v>15</v>
      </c>
      <c r="B21" s="58">
        <v>600.0</v>
      </c>
      <c r="C21" s="63">
        <f t="shared" si="4"/>
        <v>6700</v>
      </c>
    </row>
    <row r="22">
      <c r="A22" s="19" t="s">
        <v>75</v>
      </c>
      <c r="B22" s="58">
        <v>600.0</v>
      </c>
      <c r="C22" s="63">
        <f t="shared" si="4"/>
        <v>6100</v>
      </c>
    </row>
    <row r="23">
      <c r="A23" s="19" t="s">
        <v>22</v>
      </c>
      <c r="B23" s="58">
        <v>400.0</v>
      </c>
      <c r="C23" s="63">
        <f t="shared" si="4"/>
        <v>5700</v>
      </c>
    </row>
    <row r="24">
      <c r="A24" s="19" t="s">
        <v>1463</v>
      </c>
      <c r="B24" s="58">
        <v>500.0</v>
      </c>
      <c r="C24" s="63">
        <f t="shared" si="4"/>
        <v>5200</v>
      </c>
    </row>
    <row r="25">
      <c r="A25" s="19" t="s">
        <v>1464</v>
      </c>
      <c r="B25" s="58">
        <v>200.0</v>
      </c>
      <c r="C25" s="63">
        <f t="shared" si="4"/>
        <v>5000</v>
      </c>
    </row>
    <row r="26">
      <c r="A26" s="19" t="s">
        <v>117</v>
      </c>
      <c r="B26" s="58">
        <v>200.0</v>
      </c>
      <c r="C26" s="63">
        <f t="shared" si="4"/>
        <v>4800</v>
      </c>
    </row>
    <row r="27">
      <c r="A27" s="276"/>
      <c r="B27" s="276"/>
      <c r="C27" s="276"/>
      <c r="D27" s="276"/>
      <c r="E27" s="276"/>
      <c r="F27" s="276"/>
      <c r="G27" s="276"/>
      <c r="H27" s="276"/>
      <c r="I27" s="276"/>
      <c r="J27" s="276"/>
      <c r="K27" s="276"/>
    </row>
    <row r="28">
      <c r="A28" s="19" t="s">
        <v>1465</v>
      </c>
    </row>
    <row r="30">
      <c r="A30" s="19" t="s">
        <v>1466</v>
      </c>
      <c r="B30" s="58">
        <v>600000.0</v>
      </c>
      <c r="C30" s="58">
        <v>500000.0</v>
      </c>
      <c r="D30" s="58">
        <v>600000.0</v>
      </c>
      <c r="E30" s="58">
        <v>800000.0</v>
      </c>
      <c r="F30" s="58">
        <v>1000000.0</v>
      </c>
    </row>
    <row r="31">
      <c r="A31" s="19" t="s">
        <v>1467</v>
      </c>
      <c r="B31" s="63">
        <f t="shared" ref="B31:C31" si="5">B30*0.2</f>
        <v>120000</v>
      </c>
      <c r="C31" s="63">
        <f t="shared" si="5"/>
        <v>100000</v>
      </c>
      <c r="D31" s="63">
        <f>D30*0.15</f>
        <v>90000</v>
      </c>
      <c r="E31" s="63">
        <f t="shared" ref="E31:F31" si="6">E30*0.2</f>
        <v>160000</v>
      </c>
      <c r="F31" s="63">
        <f t="shared" si="6"/>
        <v>200000</v>
      </c>
    </row>
    <row r="32">
      <c r="A32" s="19" t="s">
        <v>1468</v>
      </c>
      <c r="E32" s="58">
        <v>88000.0</v>
      </c>
      <c r="F32" s="58">
        <v>88000.0</v>
      </c>
    </row>
    <row r="33">
      <c r="A33" s="19" t="s">
        <v>1351</v>
      </c>
      <c r="B33" s="63">
        <f t="shared" ref="B33:D33" si="7">B31/24</f>
        <v>5000</v>
      </c>
      <c r="C33" s="63">
        <f t="shared" si="7"/>
        <v>4166.666667</v>
      </c>
      <c r="D33" s="63">
        <f t="shared" si="7"/>
        <v>3750</v>
      </c>
      <c r="E33" s="63">
        <f t="shared" ref="E33:F33" si="8">(E31-E32)/24</f>
        <v>3000</v>
      </c>
      <c r="F33" s="63">
        <f t="shared" si="8"/>
        <v>4666.666667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9"/>
      <c r="B1" s="300"/>
    </row>
    <row r="4">
      <c r="A4" s="19" t="s">
        <v>9</v>
      </c>
      <c r="B4" t="str">
        <f>Budget!D34</f>
        <v>#REF!</v>
      </c>
    </row>
    <row r="5">
      <c r="A5" s="19" t="s">
        <v>1469</v>
      </c>
      <c r="B5" t="str">
        <f>Budget!C61</f>
        <v>#REF!</v>
      </c>
    </row>
    <row r="6">
      <c r="A6" s="19" t="s">
        <v>1470</v>
      </c>
      <c r="B6" t="str">
        <f>Budget!C6</f>
        <v>#REF!</v>
      </c>
      <c r="F6" s="301" t="str">
        <f>IFERROR(__xludf.DUMMYFUNCTION("SPARKLINE(B5,{""charttype"",""column"";""ymin"", 0; ""ymax"",MAX(B4);""firstcolor"",""#334960""})"),"#REF!")</f>
        <v>#REF!</v>
      </c>
    </row>
    <row r="7">
      <c r="A7" s="19" t="s">
        <v>1471</v>
      </c>
      <c r="B7" t="str">
        <f>Budget!B8</f>
        <v>#REF!</v>
      </c>
    </row>
    <row r="12">
      <c r="H12" t="str">
        <f>IFERROR(__xludf.DUMMYFUNCTION("SPARKLINE(B4:B5, {""charttype"",""column""})"),"#REF!")</f>
        <v>#REF!</v>
      </c>
    </row>
  </sheetData>
  <drawing r:id="rId1"/>
</worksheet>
</file>